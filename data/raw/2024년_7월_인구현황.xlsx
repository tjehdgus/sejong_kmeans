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/>
  <mc:AlternateContent xmlns:mc="http://schemas.openxmlformats.org/markup-compatibility/2006">
    <mc:Choice Requires="x15">
      <x15ac:absPath xmlns:x15ac="http://schemas.microsoft.com/office/spreadsheetml/2010/11/ac" url="C:\Users\user\Documents\업무\7.인구\2024년\24년 7월\"/>
    </mc:Choice>
  </mc:AlternateContent>
  <xr:revisionPtr revIDLastSave="0" documentId="13_ncr:1_{83EE232C-8DF8-4182-9EFE-99C4A6573523}" xr6:coauthVersionLast="36" xr6:coauthVersionMax="36" xr10:uidLastSave="{00000000-0000-0000-0000-000000000000}"/>
  <bookViews>
    <workbookView xWindow="0" yWindow="0" windowWidth="24300" windowHeight="10290" tabRatio="778" xr2:uid="{00000000-000D-0000-FFFF-FFFF00000000}"/>
  </bookViews>
  <sheets>
    <sheet name="24년 7월" sheetId="86" r:id="rId1"/>
    <sheet name="24년 6월" sheetId="85" r:id="rId2"/>
    <sheet name="24년 5월" sheetId="83" r:id="rId3"/>
    <sheet name="24년 4월" sheetId="81" r:id="rId4"/>
    <sheet name="24년 3월" sheetId="80" r:id="rId5"/>
    <sheet name="24년 2월" sheetId="79" r:id="rId6"/>
    <sheet name="24년 1월" sheetId="78" r:id="rId7"/>
    <sheet name="23년 9월 (2)" sheetId="74" state="hidden" r:id="rId8"/>
    <sheet name="Sheet1" sheetId="73" state="hidden" r:id="rId9"/>
  </sheets>
  <calcPr calcId="191029"/>
</workbook>
</file>

<file path=xl/calcChain.xml><?xml version="1.0" encoding="utf-8"?>
<calcChain xmlns="http://schemas.openxmlformats.org/spreadsheetml/2006/main">
  <c r="K10" i="85" l="1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9" i="85"/>
  <c r="I10" i="85"/>
  <c r="I11" i="85"/>
  <c r="I12" i="85"/>
  <c r="I13" i="85"/>
  <c r="I14" i="85"/>
  <c r="I15" i="85"/>
  <c r="I16" i="85"/>
  <c r="I17" i="85"/>
  <c r="I18" i="85"/>
  <c r="I19" i="85"/>
  <c r="I20" i="85"/>
  <c r="I21" i="85"/>
  <c r="I22" i="85"/>
  <c r="I23" i="85"/>
  <c r="I24" i="85"/>
  <c r="I25" i="85"/>
  <c r="I26" i="85"/>
  <c r="I27" i="85"/>
  <c r="I28" i="85"/>
  <c r="I29" i="85"/>
  <c r="I30" i="85"/>
  <c r="I31" i="85"/>
  <c r="I32" i="85"/>
  <c r="I9" i="85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9" i="86"/>
  <c r="I10" i="86"/>
  <c r="I11" i="86"/>
  <c r="I12" i="86"/>
  <c r="I13" i="86"/>
  <c r="I14" i="86"/>
  <c r="I15" i="86"/>
  <c r="I16" i="86"/>
  <c r="I17" i="86"/>
  <c r="I18" i="86"/>
  <c r="I19" i="86"/>
  <c r="I20" i="86"/>
  <c r="I21" i="86"/>
  <c r="I22" i="86"/>
  <c r="I23" i="86"/>
  <c r="I24" i="86"/>
  <c r="I25" i="86"/>
  <c r="I26" i="86"/>
  <c r="I27" i="86"/>
  <c r="I28" i="86"/>
  <c r="I29" i="86"/>
  <c r="I30" i="86"/>
  <c r="I31" i="86"/>
  <c r="I32" i="86"/>
  <c r="I9" i="86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9" i="83"/>
  <c r="I10" i="83"/>
  <c r="I11" i="83"/>
  <c r="I12" i="83"/>
  <c r="I13" i="83"/>
  <c r="I14" i="83"/>
  <c r="I15" i="83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32" i="83"/>
  <c r="I9" i="83"/>
  <c r="F10" i="83"/>
  <c r="F11" i="83"/>
  <c r="F12" i="83"/>
  <c r="F13" i="83"/>
  <c r="F14" i="83"/>
  <c r="F15" i="83"/>
  <c r="F16" i="83"/>
  <c r="F17" i="83"/>
  <c r="F18" i="83"/>
  <c r="F19" i="83"/>
  <c r="F20" i="83"/>
  <c r="F21" i="83"/>
  <c r="F22" i="83"/>
  <c r="F23" i="83"/>
  <c r="F24" i="83"/>
  <c r="F25" i="83"/>
  <c r="F26" i="83"/>
  <c r="F27" i="83"/>
  <c r="F28" i="83"/>
  <c r="F29" i="83"/>
  <c r="F30" i="83"/>
  <c r="F31" i="83"/>
  <c r="F32" i="83"/>
  <c r="F9" i="83"/>
  <c r="F10" i="85"/>
  <c r="F11" i="85"/>
  <c r="F12" i="85"/>
  <c r="F13" i="85"/>
  <c r="F14" i="85"/>
  <c r="F15" i="85"/>
  <c r="F16" i="85"/>
  <c r="F17" i="85"/>
  <c r="F18" i="85"/>
  <c r="F19" i="85"/>
  <c r="F20" i="85"/>
  <c r="F21" i="85"/>
  <c r="F22" i="85"/>
  <c r="F23" i="85"/>
  <c r="F24" i="85"/>
  <c r="F25" i="85"/>
  <c r="F26" i="85"/>
  <c r="F27" i="85"/>
  <c r="F28" i="85"/>
  <c r="F29" i="85"/>
  <c r="F30" i="85"/>
  <c r="F31" i="85"/>
  <c r="F32" i="85"/>
  <c r="F9" i="85"/>
  <c r="F10" i="86"/>
  <c r="F11" i="86"/>
  <c r="F12" i="86"/>
  <c r="F13" i="86"/>
  <c r="F14" i="86"/>
  <c r="F15" i="86"/>
  <c r="F16" i="86"/>
  <c r="F17" i="86"/>
  <c r="F18" i="86"/>
  <c r="F19" i="86"/>
  <c r="F20" i="86"/>
  <c r="F21" i="86"/>
  <c r="F22" i="86"/>
  <c r="F23" i="86"/>
  <c r="F24" i="86"/>
  <c r="F25" i="86"/>
  <c r="F26" i="86"/>
  <c r="F27" i="86"/>
  <c r="F28" i="86"/>
  <c r="F29" i="86"/>
  <c r="F30" i="86"/>
  <c r="F31" i="86"/>
  <c r="F32" i="86"/>
  <c r="F9" i="86"/>
  <c r="G10" i="86" l="1"/>
  <c r="G11" i="86"/>
  <c r="G12" i="86"/>
  <c r="G13" i="86"/>
  <c r="G14" i="86"/>
  <c r="G15" i="86"/>
  <c r="G16" i="86"/>
  <c r="G17" i="86"/>
  <c r="G18" i="86"/>
  <c r="G19" i="86"/>
  <c r="G20" i="86"/>
  <c r="G21" i="86"/>
  <c r="G22" i="86"/>
  <c r="G23" i="86"/>
  <c r="G24" i="86"/>
  <c r="G25" i="86"/>
  <c r="G26" i="86"/>
  <c r="G27" i="86"/>
  <c r="G28" i="86"/>
  <c r="G29" i="86"/>
  <c r="G30" i="86"/>
  <c r="G31" i="86"/>
  <c r="G32" i="86"/>
  <c r="G9" i="86"/>
  <c r="R10" i="86"/>
  <c r="R11" i="86"/>
  <c r="R12" i="86"/>
  <c r="R13" i="86"/>
  <c r="R14" i="86"/>
  <c r="R15" i="86"/>
  <c r="R16" i="86"/>
  <c r="R17" i="86"/>
  <c r="R18" i="86"/>
  <c r="R19" i="86"/>
  <c r="R20" i="86"/>
  <c r="R21" i="86"/>
  <c r="R22" i="86"/>
  <c r="R23" i="86"/>
  <c r="R24" i="86"/>
  <c r="R25" i="86"/>
  <c r="R26" i="86"/>
  <c r="R27" i="86"/>
  <c r="R28" i="86"/>
  <c r="R29" i="86"/>
  <c r="R30" i="86"/>
  <c r="R31" i="86"/>
  <c r="R32" i="86"/>
  <c r="R9" i="86"/>
  <c r="L32" i="86"/>
  <c r="N32" i="86" s="1"/>
  <c r="L31" i="86"/>
  <c r="C31" i="86" s="1"/>
  <c r="L30" i="86"/>
  <c r="C30" i="86" s="1"/>
  <c r="L29" i="86"/>
  <c r="N29" i="86" s="1"/>
  <c r="L28" i="86"/>
  <c r="C28" i="86" s="1"/>
  <c r="L27" i="86"/>
  <c r="N27" i="86" s="1"/>
  <c r="L26" i="86"/>
  <c r="N26" i="86" s="1"/>
  <c r="L25" i="86"/>
  <c r="N25" i="86" s="1"/>
  <c r="L24" i="86"/>
  <c r="C24" i="86" s="1"/>
  <c r="L23" i="86"/>
  <c r="C23" i="86" s="1"/>
  <c r="L22" i="86"/>
  <c r="C22" i="86" s="1"/>
  <c r="L21" i="86"/>
  <c r="N21" i="86" s="1"/>
  <c r="L20" i="86"/>
  <c r="N20" i="86" s="1"/>
  <c r="L19" i="86"/>
  <c r="N19" i="86" s="1"/>
  <c r="L18" i="86"/>
  <c r="C18" i="86" s="1"/>
  <c r="L17" i="86"/>
  <c r="N17" i="86" s="1"/>
  <c r="L16" i="86"/>
  <c r="C16" i="86" s="1"/>
  <c r="L15" i="86"/>
  <c r="C15" i="86" s="1"/>
  <c r="L14" i="86"/>
  <c r="N14" i="86" s="1"/>
  <c r="L13" i="86"/>
  <c r="C13" i="86" s="1"/>
  <c r="L12" i="86"/>
  <c r="C12" i="86" s="1"/>
  <c r="L11" i="86"/>
  <c r="C11" i="86" s="1"/>
  <c r="L10" i="86"/>
  <c r="C10" i="86" s="1"/>
  <c r="L9" i="86"/>
  <c r="N9" i="86" s="1"/>
  <c r="P8" i="86"/>
  <c r="O8" i="86"/>
  <c r="L8" i="86" l="1"/>
  <c r="N8" i="86" s="1"/>
  <c r="C19" i="86"/>
  <c r="N31" i="86"/>
  <c r="N30" i="86"/>
  <c r="N28" i="86"/>
  <c r="N18" i="86"/>
  <c r="N24" i="86"/>
  <c r="N12" i="86"/>
  <c r="N15" i="86"/>
  <c r="N13" i="86"/>
  <c r="N23" i="86"/>
  <c r="N11" i="86"/>
  <c r="N16" i="86"/>
  <c r="C21" i="86"/>
  <c r="N22" i="86"/>
  <c r="N10" i="86"/>
  <c r="R8" i="86"/>
  <c r="C17" i="86"/>
  <c r="C27" i="86"/>
  <c r="C25" i="86"/>
  <c r="C9" i="86"/>
  <c r="C29" i="86"/>
  <c r="G8" i="86"/>
  <c r="M27" i="86"/>
  <c r="M21" i="86"/>
  <c r="M15" i="86"/>
  <c r="M9" i="86"/>
  <c r="M31" i="86"/>
  <c r="M19" i="86"/>
  <c r="M25" i="86"/>
  <c r="M13" i="86"/>
  <c r="M12" i="86"/>
  <c r="M18" i="86"/>
  <c r="M24" i="86"/>
  <c r="M30" i="86"/>
  <c r="C26" i="86"/>
  <c r="C32" i="86"/>
  <c r="M11" i="86"/>
  <c r="M17" i="86"/>
  <c r="M23" i="86"/>
  <c r="M29" i="86"/>
  <c r="C20" i="86"/>
  <c r="C14" i="86"/>
  <c r="M10" i="86"/>
  <c r="M16" i="86"/>
  <c r="M22" i="86"/>
  <c r="M28" i="86"/>
  <c r="M14" i="86"/>
  <c r="M20" i="86"/>
  <c r="M26" i="86"/>
  <c r="M32" i="86"/>
  <c r="R10" i="85"/>
  <c r="G10" i="85"/>
  <c r="G11" i="85"/>
  <c r="G12" i="85"/>
  <c r="G13" i="85"/>
  <c r="G14" i="85"/>
  <c r="G15" i="85"/>
  <c r="G16" i="85"/>
  <c r="G17" i="85"/>
  <c r="G18" i="85"/>
  <c r="G19" i="85"/>
  <c r="G20" i="85"/>
  <c r="G21" i="85"/>
  <c r="G22" i="85"/>
  <c r="G23" i="85"/>
  <c r="G24" i="85"/>
  <c r="G25" i="85"/>
  <c r="G26" i="85"/>
  <c r="G27" i="85"/>
  <c r="G28" i="85"/>
  <c r="G29" i="85"/>
  <c r="G30" i="85"/>
  <c r="G31" i="85"/>
  <c r="G32" i="85"/>
  <c r="G9" i="85"/>
  <c r="R11" i="85"/>
  <c r="R12" i="85"/>
  <c r="R13" i="85"/>
  <c r="R14" i="85"/>
  <c r="R15" i="85"/>
  <c r="R16" i="85"/>
  <c r="R17" i="85"/>
  <c r="R18" i="85"/>
  <c r="R19" i="85"/>
  <c r="R20" i="85"/>
  <c r="R21" i="85"/>
  <c r="R22" i="85"/>
  <c r="R23" i="85"/>
  <c r="R24" i="85"/>
  <c r="R25" i="85"/>
  <c r="R26" i="85"/>
  <c r="R27" i="85"/>
  <c r="R28" i="85"/>
  <c r="R29" i="85"/>
  <c r="R30" i="85"/>
  <c r="R31" i="85"/>
  <c r="R32" i="85"/>
  <c r="R9" i="85"/>
  <c r="L32" i="85"/>
  <c r="L31" i="85"/>
  <c r="C31" i="85" s="1"/>
  <c r="L30" i="85"/>
  <c r="L29" i="85"/>
  <c r="L28" i="85"/>
  <c r="C28" i="85" s="1"/>
  <c r="L27" i="85"/>
  <c r="C27" i="85" s="1"/>
  <c r="L26" i="85"/>
  <c r="C26" i="85" s="1"/>
  <c r="L25" i="85"/>
  <c r="C25" i="85" s="1"/>
  <c r="L24" i="85"/>
  <c r="L23" i="85"/>
  <c r="C23" i="85" s="1"/>
  <c r="L22" i="85"/>
  <c r="L21" i="85"/>
  <c r="C21" i="85" s="1"/>
  <c r="L20" i="85"/>
  <c r="L19" i="85"/>
  <c r="C19" i="85" s="1"/>
  <c r="L18" i="85"/>
  <c r="L17" i="85"/>
  <c r="L16" i="85"/>
  <c r="L15" i="85"/>
  <c r="C15" i="85" s="1"/>
  <c r="L14" i="85"/>
  <c r="L13" i="85"/>
  <c r="C13" i="85" s="1"/>
  <c r="L12" i="85"/>
  <c r="L11" i="85"/>
  <c r="L10" i="85"/>
  <c r="C10" i="85" s="1"/>
  <c r="L9" i="85"/>
  <c r="C9" i="85" s="1"/>
  <c r="P8" i="85"/>
  <c r="O8" i="85"/>
  <c r="M8" i="86" l="1"/>
  <c r="C8" i="86"/>
  <c r="D20" i="86" s="1"/>
  <c r="C29" i="85"/>
  <c r="L8" i="85"/>
  <c r="C24" i="85"/>
  <c r="C17" i="85"/>
  <c r="R8" i="85"/>
  <c r="C12" i="85"/>
  <c r="C18" i="85"/>
  <c r="C16" i="85"/>
  <c r="C30" i="85"/>
  <c r="C22" i="85"/>
  <c r="C11" i="85"/>
  <c r="G8" i="85"/>
  <c r="C14" i="85"/>
  <c r="C20" i="85"/>
  <c r="C32" i="85"/>
  <c r="D26" i="86" l="1"/>
  <c r="D32" i="86"/>
  <c r="K8" i="86"/>
  <c r="D27" i="86"/>
  <c r="D15" i="86"/>
  <c r="D23" i="86"/>
  <c r="D30" i="86"/>
  <c r="D18" i="86"/>
  <c r="D16" i="86"/>
  <c r="D24" i="86"/>
  <c r="D28" i="86"/>
  <c r="D10" i="86"/>
  <c r="D25" i="86"/>
  <c r="D17" i="86"/>
  <c r="D19" i="86"/>
  <c r="D13" i="86"/>
  <c r="D9" i="86"/>
  <c r="D22" i="86"/>
  <c r="D29" i="86"/>
  <c r="D11" i="86"/>
  <c r="D21" i="86"/>
  <c r="D31" i="86"/>
  <c r="D12" i="86"/>
  <c r="D14" i="86"/>
  <c r="M11" i="85"/>
  <c r="M21" i="85"/>
  <c r="M13" i="85"/>
  <c r="M29" i="85"/>
  <c r="M19" i="85"/>
  <c r="M23" i="85"/>
  <c r="M10" i="85"/>
  <c r="M18" i="85"/>
  <c r="M27" i="85"/>
  <c r="M28" i="85"/>
  <c r="M25" i="85"/>
  <c r="M32" i="85"/>
  <c r="M15" i="85"/>
  <c r="M26" i="85"/>
  <c r="M22" i="85"/>
  <c r="M30" i="85"/>
  <c r="M14" i="85"/>
  <c r="M9" i="85"/>
  <c r="M16" i="85"/>
  <c r="M24" i="85"/>
  <c r="M12" i="85"/>
  <c r="M17" i="85"/>
  <c r="M31" i="85"/>
  <c r="M20" i="85"/>
  <c r="C8" i="85"/>
  <c r="D31" i="85" s="1"/>
  <c r="D14" i="85"/>
  <c r="G9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24" i="83"/>
  <c r="G25" i="83"/>
  <c r="G26" i="83"/>
  <c r="G27" i="83"/>
  <c r="G28" i="83"/>
  <c r="G29" i="83"/>
  <c r="G30" i="83"/>
  <c r="G31" i="83"/>
  <c r="G32" i="83"/>
  <c r="I8" i="86" l="1"/>
  <c r="F8" i="86"/>
  <c r="D8" i="86"/>
  <c r="D22" i="85"/>
  <c r="M8" i="85"/>
  <c r="D30" i="85"/>
  <c r="D29" i="85"/>
  <c r="D19" i="85"/>
  <c r="D12" i="85"/>
  <c r="D15" i="85"/>
  <c r="D28" i="85"/>
  <c r="D32" i="85"/>
  <c r="D9" i="85"/>
  <c r="D20" i="85"/>
  <c r="D10" i="85"/>
  <c r="D23" i="85"/>
  <c r="D18" i="85"/>
  <c r="D27" i="85"/>
  <c r="D21" i="85"/>
  <c r="D13" i="85"/>
  <c r="D11" i="85"/>
  <c r="D25" i="85"/>
  <c r="D17" i="85"/>
  <c r="D24" i="85"/>
  <c r="D26" i="85"/>
  <c r="D16" i="85"/>
  <c r="K8" i="85" l="1"/>
  <c r="I8" i="85"/>
  <c r="D8" i="85"/>
  <c r="F8" i="85"/>
  <c r="R10" i="83" l="1"/>
  <c r="R11" i="83"/>
  <c r="R12" i="83"/>
  <c r="R13" i="83"/>
  <c r="R14" i="83"/>
  <c r="R15" i="83"/>
  <c r="R16" i="83"/>
  <c r="R17" i="83"/>
  <c r="R18" i="83"/>
  <c r="R19" i="83"/>
  <c r="R20" i="83"/>
  <c r="R21" i="83"/>
  <c r="R22" i="83"/>
  <c r="R23" i="83"/>
  <c r="R24" i="83"/>
  <c r="R25" i="83"/>
  <c r="R26" i="83"/>
  <c r="R27" i="83"/>
  <c r="R28" i="83"/>
  <c r="R29" i="83"/>
  <c r="R30" i="83"/>
  <c r="R31" i="83"/>
  <c r="R32" i="83"/>
  <c r="R9" i="83"/>
  <c r="G8" i="83" l="1"/>
  <c r="L32" i="83" l="1"/>
  <c r="N32" i="85" s="1"/>
  <c r="L31" i="83"/>
  <c r="N31" i="85" s="1"/>
  <c r="L30" i="83"/>
  <c r="N30" i="85" s="1"/>
  <c r="L29" i="83"/>
  <c r="N29" i="85" s="1"/>
  <c r="L28" i="83"/>
  <c r="L27" i="83"/>
  <c r="N27" i="85" s="1"/>
  <c r="L26" i="83"/>
  <c r="N26" i="85" s="1"/>
  <c r="L25" i="83"/>
  <c r="N25" i="85" s="1"/>
  <c r="L24" i="83"/>
  <c r="N24" i="85" s="1"/>
  <c r="L23" i="83"/>
  <c r="N23" i="85" s="1"/>
  <c r="L22" i="83"/>
  <c r="L21" i="83"/>
  <c r="N21" i="85" s="1"/>
  <c r="L20" i="83"/>
  <c r="N20" i="85" s="1"/>
  <c r="L19" i="83"/>
  <c r="N19" i="85" s="1"/>
  <c r="L18" i="83"/>
  <c r="N18" i="85" s="1"/>
  <c r="L17" i="83"/>
  <c r="N17" i="85" s="1"/>
  <c r="L16" i="83"/>
  <c r="L15" i="83"/>
  <c r="N15" i="85" s="1"/>
  <c r="L14" i="83"/>
  <c r="N14" i="85" s="1"/>
  <c r="L13" i="83"/>
  <c r="N13" i="85" s="1"/>
  <c r="L12" i="83"/>
  <c r="N12" i="85" s="1"/>
  <c r="L11" i="83"/>
  <c r="N11" i="85" s="1"/>
  <c r="L10" i="83"/>
  <c r="N10" i="85" s="1"/>
  <c r="L9" i="83"/>
  <c r="P8" i="83"/>
  <c r="O8" i="83"/>
  <c r="L8" i="83" s="1"/>
  <c r="N8" i="85" s="1"/>
  <c r="R8" i="83"/>
  <c r="C32" i="83"/>
  <c r="C30" i="83"/>
  <c r="C29" i="83"/>
  <c r="C27" i="83"/>
  <c r="C24" i="83"/>
  <c r="C23" i="83"/>
  <c r="C15" i="83"/>
  <c r="C14" i="83"/>
  <c r="C22" i="83" l="1"/>
  <c r="N22" i="85"/>
  <c r="C9" i="83"/>
  <c r="N9" i="85"/>
  <c r="C21" i="83"/>
  <c r="C16" i="83"/>
  <c r="N16" i="85"/>
  <c r="C28" i="83"/>
  <c r="N28" i="85"/>
  <c r="N19" i="83"/>
  <c r="M10" i="83"/>
  <c r="M26" i="83"/>
  <c r="M18" i="83"/>
  <c r="C10" i="83"/>
  <c r="C11" i="83"/>
  <c r="N29" i="83"/>
  <c r="M13" i="83"/>
  <c r="M30" i="83"/>
  <c r="C12" i="83"/>
  <c r="M14" i="83"/>
  <c r="C17" i="83"/>
  <c r="C18" i="83"/>
  <c r="C20" i="83"/>
  <c r="M9" i="83"/>
  <c r="C26" i="83"/>
  <c r="M17" i="83"/>
  <c r="M21" i="83"/>
  <c r="M25" i="83"/>
  <c r="M29" i="83"/>
  <c r="M22" i="83"/>
  <c r="M11" i="83"/>
  <c r="M15" i="83"/>
  <c r="M19" i="83"/>
  <c r="M23" i="83"/>
  <c r="M27" i="83"/>
  <c r="M31" i="83"/>
  <c r="M12" i="83"/>
  <c r="M16" i="83"/>
  <c r="M20" i="83"/>
  <c r="M24" i="83"/>
  <c r="M28" i="83"/>
  <c r="M32" i="83"/>
  <c r="C13" i="83"/>
  <c r="C19" i="83"/>
  <c r="C25" i="83"/>
  <c r="C31" i="83"/>
  <c r="O8" i="81"/>
  <c r="P8" i="81"/>
  <c r="L9" i="81"/>
  <c r="N9" i="83" s="1"/>
  <c r="L10" i="81"/>
  <c r="N10" i="83" s="1"/>
  <c r="L11" i="81"/>
  <c r="L12" i="81"/>
  <c r="L13" i="81"/>
  <c r="L14" i="81"/>
  <c r="N14" i="83" s="1"/>
  <c r="L15" i="81"/>
  <c r="L16" i="81"/>
  <c r="L17" i="81"/>
  <c r="L18" i="81"/>
  <c r="N18" i="83" s="1"/>
  <c r="L19" i="81"/>
  <c r="L20" i="81"/>
  <c r="L21" i="81"/>
  <c r="N21" i="83" s="1"/>
  <c r="L22" i="81"/>
  <c r="N22" i="83" s="1"/>
  <c r="L23" i="81"/>
  <c r="L24" i="81"/>
  <c r="L25" i="81"/>
  <c r="L26" i="81"/>
  <c r="N26" i="83" s="1"/>
  <c r="L27" i="81"/>
  <c r="L28" i="81"/>
  <c r="N28" i="83" s="1"/>
  <c r="L29" i="81"/>
  <c r="L30" i="81"/>
  <c r="N30" i="83" s="1"/>
  <c r="L31" i="81"/>
  <c r="L32" i="81"/>
  <c r="N32" i="83" s="1"/>
  <c r="R9" i="81"/>
  <c r="L8" i="81" l="1"/>
  <c r="N8" i="83" s="1"/>
  <c r="M31" i="81"/>
  <c r="M29" i="81"/>
  <c r="M17" i="81"/>
  <c r="N20" i="83"/>
  <c r="N17" i="83"/>
  <c r="N16" i="83"/>
  <c r="N25" i="83"/>
  <c r="M8" i="83"/>
  <c r="N12" i="83"/>
  <c r="N27" i="83"/>
  <c r="N23" i="83"/>
  <c r="N31" i="83"/>
  <c r="N13" i="83"/>
  <c r="N15" i="83"/>
  <c r="N24" i="83"/>
  <c r="N11" i="83"/>
  <c r="C8" i="83"/>
  <c r="M26" i="81"/>
  <c r="M28" i="81"/>
  <c r="M32" i="81"/>
  <c r="M30" i="81"/>
  <c r="M23" i="81" l="1"/>
  <c r="M9" i="81"/>
  <c r="M11" i="81"/>
  <c r="M27" i="81"/>
  <c r="M20" i="81"/>
  <c r="M12" i="81"/>
  <c r="M19" i="81"/>
  <c r="M24" i="81"/>
  <c r="D31" i="83"/>
  <c r="M15" i="81"/>
  <c r="M21" i="81"/>
  <c r="M25" i="81"/>
  <c r="D25" i="83"/>
  <c r="M10" i="81"/>
  <c r="M16" i="81"/>
  <c r="M18" i="81"/>
  <c r="M22" i="81"/>
  <c r="M14" i="81"/>
  <c r="M13" i="81"/>
  <c r="D13" i="83"/>
  <c r="D19" i="83"/>
  <c r="D14" i="83"/>
  <c r="D20" i="83"/>
  <c r="D32" i="83"/>
  <c r="D26" i="83"/>
  <c r="D24" i="83"/>
  <c r="D12" i="83"/>
  <c r="D27" i="83"/>
  <c r="D9" i="83"/>
  <c r="D16" i="83"/>
  <c r="D30" i="83"/>
  <c r="D17" i="83"/>
  <c r="D15" i="83"/>
  <c r="D23" i="83"/>
  <c r="D18" i="83"/>
  <c r="D11" i="83"/>
  <c r="D21" i="83"/>
  <c r="D10" i="83"/>
  <c r="D29" i="83"/>
  <c r="D28" i="83"/>
  <c r="D22" i="83"/>
  <c r="G10" i="81"/>
  <c r="G11" i="81"/>
  <c r="G12" i="81"/>
  <c r="G13" i="81"/>
  <c r="G14" i="81"/>
  <c r="G15" i="81"/>
  <c r="G16" i="81"/>
  <c r="G17" i="81"/>
  <c r="G18" i="81"/>
  <c r="G19" i="81"/>
  <c r="G20" i="81"/>
  <c r="G21" i="81"/>
  <c r="G22" i="81"/>
  <c r="G23" i="81"/>
  <c r="G24" i="81"/>
  <c r="G25" i="81"/>
  <c r="G26" i="81"/>
  <c r="G27" i="81"/>
  <c r="G28" i="81"/>
  <c r="G29" i="81"/>
  <c r="G30" i="81"/>
  <c r="G31" i="81"/>
  <c r="G32" i="81"/>
  <c r="G9" i="81"/>
  <c r="R10" i="81"/>
  <c r="R11" i="81"/>
  <c r="R12" i="81"/>
  <c r="R13" i="81"/>
  <c r="R14" i="81"/>
  <c r="R15" i="81"/>
  <c r="R16" i="81"/>
  <c r="R17" i="81"/>
  <c r="R18" i="81"/>
  <c r="R19" i="81"/>
  <c r="R20" i="81"/>
  <c r="R21" i="81"/>
  <c r="R22" i="81"/>
  <c r="R23" i="81"/>
  <c r="R24" i="81"/>
  <c r="R25" i="81"/>
  <c r="R26" i="81"/>
  <c r="R27" i="81"/>
  <c r="R28" i="81"/>
  <c r="R29" i="81"/>
  <c r="R30" i="81"/>
  <c r="R31" i="81"/>
  <c r="R32" i="81"/>
  <c r="K32" i="81"/>
  <c r="I32" i="81"/>
  <c r="F32" i="81"/>
  <c r="K31" i="81"/>
  <c r="I31" i="81"/>
  <c r="F31" i="81"/>
  <c r="K30" i="81"/>
  <c r="I30" i="81"/>
  <c r="F30" i="81"/>
  <c r="C29" i="81"/>
  <c r="K29" i="81"/>
  <c r="I29" i="81"/>
  <c r="F29" i="81"/>
  <c r="K28" i="81"/>
  <c r="I28" i="81"/>
  <c r="F28" i="81"/>
  <c r="K27" i="81"/>
  <c r="I27" i="81"/>
  <c r="F27" i="81"/>
  <c r="C26" i="81"/>
  <c r="K26" i="81"/>
  <c r="I26" i="81"/>
  <c r="F26" i="81"/>
  <c r="K25" i="81"/>
  <c r="I25" i="81"/>
  <c r="F25" i="81"/>
  <c r="C24" i="81"/>
  <c r="K24" i="81"/>
  <c r="I24" i="81"/>
  <c r="F24" i="81"/>
  <c r="C23" i="81"/>
  <c r="K23" i="81"/>
  <c r="I23" i="81"/>
  <c r="F23" i="81"/>
  <c r="K22" i="81"/>
  <c r="I22" i="81"/>
  <c r="F22" i="81"/>
  <c r="K21" i="81"/>
  <c r="I21" i="81"/>
  <c r="F21" i="81"/>
  <c r="C20" i="81"/>
  <c r="K20" i="81"/>
  <c r="I20" i="81"/>
  <c r="F20" i="81"/>
  <c r="K19" i="81"/>
  <c r="I19" i="81"/>
  <c r="F19" i="81"/>
  <c r="K18" i="81"/>
  <c r="I18" i="81"/>
  <c r="F18" i="81"/>
  <c r="C17" i="81"/>
  <c r="K17" i="81"/>
  <c r="I17" i="81"/>
  <c r="F17" i="81"/>
  <c r="C16" i="81"/>
  <c r="K16" i="81"/>
  <c r="I16" i="81"/>
  <c r="F16" i="81"/>
  <c r="K15" i="81"/>
  <c r="I15" i="81"/>
  <c r="F15" i="81"/>
  <c r="K14" i="81"/>
  <c r="I14" i="81"/>
  <c r="F14" i="81"/>
  <c r="K13" i="81"/>
  <c r="I13" i="81"/>
  <c r="F13" i="81"/>
  <c r="K12" i="81"/>
  <c r="I12" i="81"/>
  <c r="F12" i="81"/>
  <c r="C11" i="81"/>
  <c r="K11" i="81"/>
  <c r="I11" i="81"/>
  <c r="F11" i="81"/>
  <c r="K10" i="81"/>
  <c r="I10" i="81"/>
  <c r="F10" i="81"/>
  <c r="K9" i="81"/>
  <c r="I9" i="81"/>
  <c r="F9" i="81"/>
  <c r="M8" i="81" l="1"/>
  <c r="K8" i="83"/>
  <c r="I8" i="83"/>
  <c r="F8" i="83"/>
  <c r="D8" i="83"/>
  <c r="R8" i="81"/>
  <c r="C12" i="81"/>
  <c r="C10" i="81"/>
  <c r="C28" i="81"/>
  <c r="C18" i="81"/>
  <c r="C30" i="81"/>
  <c r="K8" i="81"/>
  <c r="C22" i="81"/>
  <c r="C32" i="81"/>
  <c r="C14" i="81"/>
  <c r="G8" i="81"/>
  <c r="F8" i="81"/>
  <c r="I8" i="81"/>
  <c r="C27" i="81"/>
  <c r="C9" i="81"/>
  <c r="C15" i="81"/>
  <c r="C21" i="81"/>
  <c r="C13" i="81"/>
  <c r="C19" i="81"/>
  <c r="C25" i="81"/>
  <c r="C31" i="81"/>
  <c r="R10" i="80"/>
  <c r="R11" i="80"/>
  <c r="R12" i="80"/>
  <c r="R13" i="80"/>
  <c r="R14" i="80"/>
  <c r="R15" i="80"/>
  <c r="R16" i="80"/>
  <c r="R17" i="80"/>
  <c r="R18" i="80"/>
  <c r="R19" i="80"/>
  <c r="R20" i="80"/>
  <c r="R21" i="80"/>
  <c r="R22" i="80"/>
  <c r="R23" i="80"/>
  <c r="R24" i="80"/>
  <c r="R25" i="80"/>
  <c r="R26" i="80"/>
  <c r="R27" i="80"/>
  <c r="R28" i="80"/>
  <c r="R29" i="80"/>
  <c r="R30" i="80"/>
  <c r="R31" i="80"/>
  <c r="R32" i="80"/>
  <c r="R9" i="80"/>
  <c r="G10" i="80"/>
  <c r="G11" i="80"/>
  <c r="G12" i="80"/>
  <c r="G13" i="80"/>
  <c r="G14" i="80"/>
  <c r="G15" i="80"/>
  <c r="G16" i="80"/>
  <c r="G17" i="80"/>
  <c r="G18" i="80"/>
  <c r="G19" i="80"/>
  <c r="G20" i="80"/>
  <c r="G21" i="80"/>
  <c r="G22" i="80"/>
  <c r="G23" i="80"/>
  <c r="G24" i="80"/>
  <c r="G25" i="80"/>
  <c r="G26" i="80"/>
  <c r="G27" i="80"/>
  <c r="G28" i="80"/>
  <c r="G29" i="80"/>
  <c r="G30" i="80"/>
  <c r="G31" i="80"/>
  <c r="G32" i="80"/>
  <c r="G9" i="80"/>
  <c r="L32" i="80"/>
  <c r="K32" i="80"/>
  <c r="I32" i="80"/>
  <c r="F32" i="80"/>
  <c r="L31" i="80"/>
  <c r="K31" i="80"/>
  <c r="I31" i="80"/>
  <c r="F31" i="80"/>
  <c r="L30" i="80"/>
  <c r="K30" i="80"/>
  <c r="I30" i="80"/>
  <c r="F30" i="80"/>
  <c r="L29" i="80"/>
  <c r="K29" i="80"/>
  <c r="I29" i="80"/>
  <c r="F29" i="80"/>
  <c r="L28" i="80"/>
  <c r="K28" i="80"/>
  <c r="I28" i="80"/>
  <c r="F28" i="80"/>
  <c r="L27" i="80"/>
  <c r="K27" i="80"/>
  <c r="I27" i="80"/>
  <c r="F27" i="80"/>
  <c r="L26" i="80"/>
  <c r="K26" i="80"/>
  <c r="I26" i="80"/>
  <c r="F26" i="80"/>
  <c r="L25" i="80"/>
  <c r="K25" i="80"/>
  <c r="I25" i="80"/>
  <c r="F25" i="80"/>
  <c r="L24" i="80"/>
  <c r="K24" i="80"/>
  <c r="I24" i="80"/>
  <c r="F24" i="80"/>
  <c r="L23" i="80"/>
  <c r="K23" i="80"/>
  <c r="I23" i="80"/>
  <c r="F23" i="80"/>
  <c r="L22" i="80"/>
  <c r="K22" i="80"/>
  <c r="I22" i="80"/>
  <c r="F22" i="80"/>
  <c r="L21" i="80"/>
  <c r="K21" i="80"/>
  <c r="I21" i="80"/>
  <c r="F21" i="80"/>
  <c r="L20" i="80"/>
  <c r="K20" i="80"/>
  <c r="I20" i="80"/>
  <c r="F20" i="80"/>
  <c r="L19" i="80"/>
  <c r="K19" i="80"/>
  <c r="I19" i="80"/>
  <c r="F19" i="80"/>
  <c r="L18" i="80"/>
  <c r="K18" i="80"/>
  <c r="I18" i="80"/>
  <c r="F18" i="80"/>
  <c r="L17" i="80"/>
  <c r="K17" i="80"/>
  <c r="I17" i="80"/>
  <c r="F17" i="80"/>
  <c r="L16" i="80"/>
  <c r="K16" i="80"/>
  <c r="I16" i="80"/>
  <c r="F16" i="80"/>
  <c r="C16" i="80"/>
  <c r="L15" i="80"/>
  <c r="K15" i="80"/>
  <c r="I15" i="80"/>
  <c r="F15" i="80"/>
  <c r="L14" i="80"/>
  <c r="K14" i="80"/>
  <c r="I14" i="80"/>
  <c r="F14" i="80"/>
  <c r="L13" i="80"/>
  <c r="N13" i="81" s="1"/>
  <c r="K13" i="80"/>
  <c r="I13" i="80"/>
  <c r="F13" i="80"/>
  <c r="L12" i="80"/>
  <c r="K12" i="80"/>
  <c r="I12" i="80"/>
  <c r="F12" i="80"/>
  <c r="L11" i="80"/>
  <c r="K11" i="80"/>
  <c r="I11" i="80"/>
  <c r="F11" i="80"/>
  <c r="L10" i="80"/>
  <c r="C10" i="80" s="1"/>
  <c r="K10" i="80"/>
  <c r="I10" i="80"/>
  <c r="F10" i="80"/>
  <c r="R8" i="80"/>
  <c r="L9" i="80"/>
  <c r="K9" i="80"/>
  <c r="I9" i="80"/>
  <c r="F9" i="80"/>
  <c r="F8" i="80" l="1"/>
  <c r="N12" i="81"/>
  <c r="N15" i="81"/>
  <c r="N18" i="81"/>
  <c r="N21" i="81"/>
  <c r="C24" i="80"/>
  <c r="N24" i="81"/>
  <c r="C27" i="80"/>
  <c r="N27" i="81"/>
  <c r="C30" i="80"/>
  <c r="N30" i="81"/>
  <c r="I8" i="80"/>
  <c r="N10" i="81"/>
  <c r="N16" i="81"/>
  <c r="N19" i="81"/>
  <c r="C22" i="80"/>
  <c r="N22" i="81"/>
  <c r="C25" i="80"/>
  <c r="N25" i="81"/>
  <c r="C28" i="80"/>
  <c r="N28" i="81"/>
  <c r="C31" i="80"/>
  <c r="N31" i="81"/>
  <c r="C11" i="80"/>
  <c r="N11" i="81"/>
  <c r="C14" i="80"/>
  <c r="N14" i="81"/>
  <c r="C17" i="80"/>
  <c r="N17" i="81"/>
  <c r="N20" i="81"/>
  <c r="C23" i="80"/>
  <c r="N23" i="81"/>
  <c r="N26" i="81"/>
  <c r="C29" i="80"/>
  <c r="N29" i="81"/>
  <c r="N32" i="81"/>
  <c r="N9" i="81"/>
  <c r="C8" i="81"/>
  <c r="D27" i="81" s="1"/>
  <c r="L8" i="80"/>
  <c r="M19" i="80" s="1"/>
  <c r="C20" i="80"/>
  <c r="C15" i="80"/>
  <c r="C21" i="80"/>
  <c r="C19" i="80"/>
  <c r="K8" i="80"/>
  <c r="C26" i="80"/>
  <c r="C32" i="80"/>
  <c r="M13" i="80"/>
  <c r="C9" i="80"/>
  <c r="G8" i="80"/>
  <c r="M20" i="80"/>
  <c r="M21" i="80"/>
  <c r="M15" i="80"/>
  <c r="M9" i="80"/>
  <c r="M28" i="80"/>
  <c r="M22" i="80"/>
  <c r="M16" i="80"/>
  <c r="M10" i="80"/>
  <c r="M12" i="80"/>
  <c r="M25" i="80"/>
  <c r="M18" i="80"/>
  <c r="M29" i="80"/>
  <c r="M30" i="80"/>
  <c r="M23" i="80"/>
  <c r="C13" i="80"/>
  <c r="M24" i="80"/>
  <c r="M17" i="80"/>
  <c r="C12" i="80"/>
  <c r="C18" i="80"/>
  <c r="G11" i="79"/>
  <c r="M11" i="80" l="1"/>
  <c r="M14" i="80"/>
  <c r="M31" i="80"/>
  <c r="M32" i="80"/>
  <c r="N8" i="81"/>
  <c r="D31" i="81"/>
  <c r="D19" i="81"/>
  <c r="D21" i="81"/>
  <c r="D32" i="81"/>
  <c r="D11" i="81"/>
  <c r="D28" i="81"/>
  <c r="D30" i="81"/>
  <c r="D17" i="81"/>
  <c r="D10" i="81"/>
  <c r="D26" i="81"/>
  <c r="D22" i="81"/>
  <c r="D14" i="81"/>
  <c r="D18" i="81"/>
  <c r="D29" i="81"/>
  <c r="D20" i="81"/>
  <c r="D12" i="81"/>
  <c r="D23" i="81"/>
  <c r="D24" i="81"/>
  <c r="D16" i="81"/>
  <c r="D25" i="81"/>
  <c r="D9" i="81"/>
  <c r="D13" i="81"/>
  <c r="D15" i="81"/>
  <c r="M26" i="80"/>
  <c r="M27" i="80"/>
  <c r="C8" i="80"/>
  <c r="D31" i="80" s="1"/>
  <c r="D17" i="80"/>
  <c r="D20" i="80"/>
  <c r="D21" i="80"/>
  <c r="D10" i="80"/>
  <c r="G10" i="79"/>
  <c r="G12" i="79"/>
  <c r="G13" i="79"/>
  <c r="G14" i="79"/>
  <c r="G15" i="79"/>
  <c r="G16" i="79"/>
  <c r="G17" i="79"/>
  <c r="G18" i="79"/>
  <c r="G19" i="79"/>
  <c r="G20" i="79"/>
  <c r="G21" i="79"/>
  <c r="G22" i="79"/>
  <c r="G23" i="79"/>
  <c r="G24" i="79"/>
  <c r="G25" i="79"/>
  <c r="G26" i="79"/>
  <c r="G27" i="79"/>
  <c r="G28" i="79"/>
  <c r="G29" i="79"/>
  <c r="G30" i="79"/>
  <c r="G31" i="79"/>
  <c r="G32" i="79"/>
  <c r="G9" i="79"/>
  <c r="R9" i="79"/>
  <c r="R10" i="79"/>
  <c r="R11" i="79"/>
  <c r="R12" i="79"/>
  <c r="R13" i="79"/>
  <c r="R14" i="79"/>
  <c r="R15" i="79"/>
  <c r="R16" i="79"/>
  <c r="R17" i="79"/>
  <c r="R18" i="79"/>
  <c r="R19" i="79"/>
  <c r="R20" i="79"/>
  <c r="R21" i="79"/>
  <c r="R22" i="79"/>
  <c r="R23" i="79"/>
  <c r="R24" i="79"/>
  <c r="R25" i="79"/>
  <c r="R26" i="79"/>
  <c r="R27" i="79"/>
  <c r="R28" i="79"/>
  <c r="R29" i="79"/>
  <c r="R30" i="79"/>
  <c r="R31" i="79"/>
  <c r="R32" i="79"/>
  <c r="D13" i="80" l="1"/>
  <c r="D29" i="80"/>
  <c r="D28" i="80"/>
  <c r="D30" i="80"/>
  <c r="D11" i="80"/>
  <c r="D8" i="81"/>
  <c r="D23" i="80"/>
  <c r="D12" i="80"/>
  <c r="D9" i="80"/>
  <c r="D14" i="80"/>
  <c r="D32" i="80"/>
  <c r="D22" i="80"/>
  <c r="D15" i="80"/>
  <c r="D18" i="80"/>
  <c r="D24" i="80"/>
  <c r="M8" i="80"/>
  <c r="D19" i="80"/>
  <c r="D25" i="80"/>
  <c r="D16" i="80"/>
  <c r="D26" i="80"/>
  <c r="D27" i="80"/>
  <c r="O8" i="79"/>
  <c r="L32" i="79"/>
  <c r="K32" i="79"/>
  <c r="I32" i="79"/>
  <c r="F32" i="79"/>
  <c r="L31" i="79"/>
  <c r="K31" i="79"/>
  <c r="I31" i="79"/>
  <c r="F31" i="79"/>
  <c r="L30" i="79"/>
  <c r="N30" i="80" s="1"/>
  <c r="K30" i="79"/>
  <c r="I30" i="79"/>
  <c r="F30" i="79"/>
  <c r="L29" i="79"/>
  <c r="N29" i="80" s="1"/>
  <c r="K29" i="79"/>
  <c r="I29" i="79"/>
  <c r="F29" i="79"/>
  <c r="L28" i="79"/>
  <c r="K28" i="79"/>
  <c r="I28" i="79"/>
  <c r="F28" i="79"/>
  <c r="L27" i="79"/>
  <c r="K27" i="79"/>
  <c r="I27" i="79"/>
  <c r="F27" i="79"/>
  <c r="L26" i="79"/>
  <c r="N26" i="80" s="1"/>
  <c r="K26" i="79"/>
  <c r="I26" i="79"/>
  <c r="F26" i="79"/>
  <c r="L25" i="79"/>
  <c r="K25" i="79"/>
  <c r="I25" i="79"/>
  <c r="F25" i="79"/>
  <c r="L24" i="79"/>
  <c r="N24" i="80" s="1"/>
  <c r="K24" i="79"/>
  <c r="I24" i="79"/>
  <c r="F24" i="79"/>
  <c r="L23" i="79"/>
  <c r="N23" i="80" s="1"/>
  <c r="K23" i="79"/>
  <c r="I23" i="79"/>
  <c r="F23" i="79"/>
  <c r="L22" i="79"/>
  <c r="N22" i="80" s="1"/>
  <c r="K22" i="79"/>
  <c r="I22" i="79"/>
  <c r="F22" i="79"/>
  <c r="L21" i="79"/>
  <c r="K21" i="79"/>
  <c r="I21" i="79"/>
  <c r="F21" i="79"/>
  <c r="L20" i="79"/>
  <c r="C20" i="79" s="1"/>
  <c r="K20" i="79"/>
  <c r="I20" i="79"/>
  <c r="F20" i="79"/>
  <c r="L19" i="79"/>
  <c r="N19" i="80" s="1"/>
  <c r="K19" i="79"/>
  <c r="I19" i="79"/>
  <c r="F19" i="79"/>
  <c r="L18" i="79"/>
  <c r="N18" i="80" s="1"/>
  <c r="K18" i="79"/>
  <c r="I18" i="79"/>
  <c r="F18" i="79"/>
  <c r="L17" i="79"/>
  <c r="N17" i="80" s="1"/>
  <c r="K17" i="79"/>
  <c r="I17" i="79"/>
  <c r="F17" i="79"/>
  <c r="L16" i="79"/>
  <c r="K16" i="79"/>
  <c r="I16" i="79"/>
  <c r="F16" i="79"/>
  <c r="L15" i="79"/>
  <c r="K15" i="79"/>
  <c r="I15" i="79"/>
  <c r="F15" i="79"/>
  <c r="L14" i="79"/>
  <c r="N14" i="80" s="1"/>
  <c r="K14" i="79"/>
  <c r="I14" i="79"/>
  <c r="F14" i="79"/>
  <c r="L13" i="79"/>
  <c r="K13" i="79"/>
  <c r="I13" i="79"/>
  <c r="F13" i="79"/>
  <c r="L12" i="79"/>
  <c r="N12" i="80" s="1"/>
  <c r="K12" i="79"/>
  <c r="I12" i="79"/>
  <c r="F12" i="79"/>
  <c r="L11" i="79"/>
  <c r="N11" i="80" s="1"/>
  <c r="K11" i="79"/>
  <c r="I11" i="79"/>
  <c r="F11" i="79"/>
  <c r="L10" i="79"/>
  <c r="K10" i="79"/>
  <c r="I10" i="79"/>
  <c r="F10" i="79"/>
  <c r="L9" i="79"/>
  <c r="K9" i="79"/>
  <c r="I9" i="79"/>
  <c r="F9" i="79"/>
  <c r="P8" i="79"/>
  <c r="L8" i="79" s="1"/>
  <c r="N25" i="80" l="1"/>
  <c r="N28" i="80"/>
  <c r="N31" i="80"/>
  <c r="N8" i="80"/>
  <c r="N13" i="80"/>
  <c r="N20" i="80"/>
  <c r="N32" i="80"/>
  <c r="N9" i="80"/>
  <c r="N15" i="80"/>
  <c r="N10" i="80"/>
  <c r="N21" i="80"/>
  <c r="N27" i="80"/>
  <c r="N16" i="80"/>
  <c r="D8" i="80"/>
  <c r="C15" i="79"/>
  <c r="C30" i="79"/>
  <c r="C24" i="79"/>
  <c r="M19" i="79"/>
  <c r="C28" i="79"/>
  <c r="C9" i="79"/>
  <c r="C11" i="79"/>
  <c r="C14" i="79"/>
  <c r="C22" i="79"/>
  <c r="C17" i="79"/>
  <c r="C21" i="79"/>
  <c r="C27" i="79"/>
  <c r="C10" i="79"/>
  <c r="C12" i="79"/>
  <c r="C23" i="79"/>
  <c r="C26" i="79"/>
  <c r="C16" i="79"/>
  <c r="C18" i="79"/>
  <c r="N18" i="79"/>
  <c r="C29" i="79"/>
  <c r="N29" i="79"/>
  <c r="R8" i="79"/>
  <c r="G8" i="79"/>
  <c r="F8" i="79"/>
  <c r="C32" i="79"/>
  <c r="K8" i="79"/>
  <c r="I8" i="79"/>
  <c r="M31" i="79"/>
  <c r="M25" i="79"/>
  <c r="M32" i="79"/>
  <c r="M26" i="79"/>
  <c r="M20" i="79"/>
  <c r="M14" i="79"/>
  <c r="M22" i="79"/>
  <c r="M16" i="79"/>
  <c r="M11" i="79"/>
  <c r="M27" i="79"/>
  <c r="M21" i="79"/>
  <c r="M10" i="79"/>
  <c r="M29" i="79"/>
  <c r="M23" i="79"/>
  <c r="M17" i="79"/>
  <c r="M13" i="79"/>
  <c r="M12" i="79"/>
  <c r="M24" i="79"/>
  <c r="M30" i="79"/>
  <c r="M18" i="79"/>
  <c r="C13" i="79"/>
  <c r="C19" i="79"/>
  <c r="C25" i="79"/>
  <c r="C31" i="79"/>
  <c r="M28" i="79"/>
  <c r="M15" i="79"/>
  <c r="M9" i="79"/>
  <c r="G18" i="78"/>
  <c r="G24" i="78"/>
  <c r="G9" i="78"/>
  <c r="L32" i="78"/>
  <c r="C32" i="78" s="1"/>
  <c r="L31" i="78"/>
  <c r="C31" i="78" s="1"/>
  <c r="L30" i="78"/>
  <c r="C30" i="78" s="1"/>
  <c r="L29" i="78"/>
  <c r="L28" i="78"/>
  <c r="C28" i="78" s="1"/>
  <c r="L27" i="78"/>
  <c r="N27" i="79" s="1"/>
  <c r="L26" i="78"/>
  <c r="N26" i="79" s="1"/>
  <c r="L25" i="78"/>
  <c r="C25" i="78" s="1"/>
  <c r="L24" i="78"/>
  <c r="C24" i="78" s="1"/>
  <c r="L23" i="78"/>
  <c r="N23" i="79" s="1"/>
  <c r="L22" i="78"/>
  <c r="C22" i="78" s="1"/>
  <c r="L21" i="78"/>
  <c r="N21" i="79" s="1"/>
  <c r="L20" i="78"/>
  <c r="N20" i="79" s="1"/>
  <c r="L19" i="78"/>
  <c r="C19" i="78" s="1"/>
  <c r="L18" i="78"/>
  <c r="C18" i="78" s="1"/>
  <c r="L17" i="78"/>
  <c r="C17" i="78" s="1"/>
  <c r="L16" i="78"/>
  <c r="C16" i="78" s="1"/>
  <c r="L15" i="78"/>
  <c r="N15" i="79" s="1"/>
  <c r="L14" i="78"/>
  <c r="N14" i="79" s="1"/>
  <c r="L13" i="78"/>
  <c r="C13" i="78" s="1"/>
  <c r="L12" i="78"/>
  <c r="C12" i="78" s="1"/>
  <c r="L11" i="78"/>
  <c r="N11" i="79" s="1"/>
  <c r="L10" i="78"/>
  <c r="C10" i="78" s="1"/>
  <c r="L9" i="78"/>
  <c r="N9" i="79" s="1"/>
  <c r="P8" i="78"/>
  <c r="O8" i="78"/>
  <c r="N19" i="79" l="1"/>
  <c r="N13" i="79"/>
  <c r="N17" i="79"/>
  <c r="N24" i="79"/>
  <c r="N10" i="79"/>
  <c r="N22" i="79"/>
  <c r="N30" i="79"/>
  <c r="N31" i="79"/>
  <c r="N28" i="79"/>
  <c r="N12" i="79"/>
  <c r="N16" i="79"/>
  <c r="N32" i="79"/>
  <c r="N25" i="79"/>
  <c r="M8" i="79"/>
  <c r="C8" i="79"/>
  <c r="D31" i="79" s="1"/>
  <c r="L8" i="78"/>
  <c r="M9" i="78" s="1"/>
  <c r="C20" i="78"/>
  <c r="C29" i="78"/>
  <c r="C21" i="78"/>
  <c r="C23" i="78"/>
  <c r="C14" i="78"/>
  <c r="C26" i="78"/>
  <c r="C9" i="78"/>
  <c r="C11" i="78"/>
  <c r="C15" i="78"/>
  <c r="C27" i="78"/>
  <c r="G10" i="78"/>
  <c r="G11" i="78"/>
  <c r="G12" i="78"/>
  <c r="G13" i="78"/>
  <c r="G14" i="78"/>
  <c r="G15" i="78"/>
  <c r="G16" i="78"/>
  <c r="G17" i="78"/>
  <c r="G19" i="78"/>
  <c r="G20" i="78"/>
  <c r="G21" i="78"/>
  <c r="G22" i="78"/>
  <c r="G23" i="78"/>
  <c r="G25" i="78"/>
  <c r="G26" i="78"/>
  <c r="G27" i="78"/>
  <c r="G28" i="78"/>
  <c r="G29" i="78"/>
  <c r="G30" i="78"/>
  <c r="G31" i="78"/>
  <c r="G32" i="78"/>
  <c r="R10" i="78"/>
  <c r="R11" i="78"/>
  <c r="R12" i="78"/>
  <c r="R13" i="78"/>
  <c r="R14" i="78"/>
  <c r="R15" i="78"/>
  <c r="R16" i="78"/>
  <c r="R17" i="78"/>
  <c r="R18" i="78"/>
  <c r="R19" i="78"/>
  <c r="R20" i="78"/>
  <c r="R21" i="78"/>
  <c r="R22" i="78"/>
  <c r="R23" i="78"/>
  <c r="R24" i="78"/>
  <c r="R25" i="78"/>
  <c r="R26" i="78"/>
  <c r="R27" i="78"/>
  <c r="R28" i="78"/>
  <c r="R29" i="78"/>
  <c r="R30" i="78"/>
  <c r="R31" i="78"/>
  <c r="R32" i="78"/>
  <c r="R9" i="78"/>
  <c r="M16" i="78" l="1"/>
  <c r="N8" i="79"/>
  <c r="M18" i="78"/>
  <c r="M30" i="78"/>
  <c r="M15" i="78"/>
  <c r="M27" i="78"/>
  <c r="M28" i="78"/>
  <c r="D20" i="79"/>
  <c r="D14" i="79"/>
  <c r="D32" i="79"/>
  <c r="D26" i="79"/>
  <c r="D21" i="79"/>
  <c r="D23" i="79"/>
  <c r="D22" i="79"/>
  <c r="D29" i="79"/>
  <c r="D18" i="79"/>
  <c r="D17" i="79"/>
  <c r="D28" i="79"/>
  <c r="D16" i="79"/>
  <c r="D12" i="79"/>
  <c r="D15" i="79"/>
  <c r="D24" i="79"/>
  <c r="D27" i="79"/>
  <c r="D30" i="79"/>
  <c r="D10" i="79"/>
  <c r="D9" i="79"/>
  <c r="D11" i="79"/>
  <c r="D25" i="79"/>
  <c r="D13" i="79"/>
  <c r="D19" i="79"/>
  <c r="M19" i="78"/>
  <c r="M31" i="78"/>
  <c r="M10" i="78"/>
  <c r="M13" i="78"/>
  <c r="M25" i="78"/>
  <c r="M14" i="78"/>
  <c r="M26" i="78"/>
  <c r="M22" i="78"/>
  <c r="M17" i="78"/>
  <c r="M32" i="78"/>
  <c r="M23" i="78"/>
  <c r="M29" i="78"/>
  <c r="M12" i="78"/>
  <c r="M20" i="78"/>
  <c r="M21" i="78"/>
  <c r="M24" i="78"/>
  <c r="M11" i="78"/>
  <c r="C8" i="78"/>
  <c r="D26" i="78" s="1"/>
  <c r="K32" i="78"/>
  <c r="I32" i="78"/>
  <c r="F32" i="78"/>
  <c r="K31" i="78"/>
  <c r="I31" i="78"/>
  <c r="F31" i="78"/>
  <c r="K30" i="78"/>
  <c r="I30" i="78"/>
  <c r="F30" i="78"/>
  <c r="K29" i="78"/>
  <c r="I29" i="78"/>
  <c r="F29" i="78"/>
  <c r="K28" i="78"/>
  <c r="I28" i="78"/>
  <c r="F28" i="78"/>
  <c r="K27" i="78"/>
  <c r="I27" i="78"/>
  <c r="F27" i="78"/>
  <c r="K26" i="78"/>
  <c r="I26" i="78"/>
  <c r="F26" i="78"/>
  <c r="K25" i="78"/>
  <c r="I25" i="78"/>
  <c r="F25" i="78"/>
  <c r="K24" i="78"/>
  <c r="I24" i="78"/>
  <c r="F24" i="78"/>
  <c r="K23" i="78"/>
  <c r="I23" i="78"/>
  <c r="F23" i="78"/>
  <c r="K22" i="78"/>
  <c r="I22" i="78"/>
  <c r="F22" i="78"/>
  <c r="K21" i="78"/>
  <c r="I21" i="78"/>
  <c r="F21" i="78"/>
  <c r="K20" i="78"/>
  <c r="I20" i="78"/>
  <c r="F20" i="78"/>
  <c r="K19" i="78"/>
  <c r="I19" i="78"/>
  <c r="F19" i="78"/>
  <c r="K18" i="78"/>
  <c r="I18" i="78"/>
  <c r="F18" i="78"/>
  <c r="K17" i="78"/>
  <c r="I17" i="78"/>
  <c r="F17" i="78"/>
  <c r="K16" i="78"/>
  <c r="I16" i="78"/>
  <c r="F16" i="78"/>
  <c r="K15" i="78"/>
  <c r="I15" i="78"/>
  <c r="F15" i="78"/>
  <c r="K14" i="78"/>
  <c r="I14" i="78"/>
  <c r="F14" i="78"/>
  <c r="K13" i="78"/>
  <c r="I13" i="78"/>
  <c r="F13" i="78"/>
  <c r="K12" i="78"/>
  <c r="I12" i="78"/>
  <c r="F12" i="78"/>
  <c r="K11" i="78"/>
  <c r="I11" i="78"/>
  <c r="F11" i="78"/>
  <c r="K10" i="78"/>
  <c r="I10" i="78"/>
  <c r="F10" i="78"/>
  <c r="K9" i="78"/>
  <c r="I9" i="78"/>
  <c r="F9" i="78"/>
  <c r="M8" i="78" l="1"/>
  <c r="D8" i="79"/>
  <c r="D25" i="78"/>
  <c r="D31" i="78"/>
  <c r="D23" i="78"/>
  <c r="D19" i="78"/>
  <c r="D20" i="78"/>
  <c r="D16" i="78"/>
  <c r="D13" i="78"/>
  <c r="D32" i="78"/>
  <c r="D15" i="78"/>
  <c r="D9" i="78"/>
  <c r="D21" i="78"/>
  <c r="D27" i="78"/>
  <c r="D10" i="78"/>
  <c r="D11" i="78"/>
  <c r="D28" i="78"/>
  <c r="D17" i="78"/>
  <c r="D22" i="78"/>
  <c r="D29" i="78"/>
  <c r="D24" i="78"/>
  <c r="D30" i="78"/>
  <c r="D12" i="78"/>
  <c r="D18" i="78"/>
  <c r="D14" i="78"/>
  <c r="F8" i="78"/>
  <c r="G8" i="78"/>
  <c r="I8" i="78"/>
  <c r="R8" i="78"/>
  <c r="K8" i="78"/>
  <c r="D8" i="78" l="1"/>
  <c r="N32" i="78"/>
  <c r="N29" i="78"/>
  <c r="N26" i="78"/>
  <c r="N24" i="78"/>
  <c r="N23" i="78"/>
  <c r="N18" i="78"/>
  <c r="N17" i="78"/>
  <c r="N16" i="78"/>
  <c r="N15" i="78"/>
  <c r="N12" i="78"/>
  <c r="N8" i="78" l="1"/>
  <c r="N21" i="78"/>
  <c r="N10" i="78"/>
  <c r="N19" i="78"/>
  <c r="N22" i="78"/>
  <c r="N25" i="78"/>
  <c r="N28" i="78"/>
  <c r="N31" i="78"/>
  <c r="N13" i="78"/>
  <c r="N30" i="78"/>
  <c r="N9" i="78"/>
  <c r="N27" i="78"/>
  <c r="N11" i="78"/>
  <c r="N20" i="78"/>
  <c r="N14" i="78"/>
  <c r="R31" i="74" l="1"/>
  <c r="L31" i="74"/>
  <c r="K31" i="74"/>
  <c r="I31" i="74"/>
  <c r="G31" i="74"/>
  <c r="F31" i="74"/>
  <c r="R30" i="74"/>
  <c r="L30" i="74"/>
  <c r="C30" i="74" s="1"/>
  <c r="K30" i="74"/>
  <c r="I30" i="74"/>
  <c r="G30" i="74"/>
  <c r="F30" i="74"/>
  <c r="R29" i="74"/>
  <c r="L29" i="74"/>
  <c r="C29" i="74" s="1"/>
  <c r="K29" i="74"/>
  <c r="I29" i="74"/>
  <c r="G29" i="74"/>
  <c r="F29" i="74"/>
  <c r="R28" i="74"/>
  <c r="L28" i="74"/>
  <c r="C28" i="74" s="1"/>
  <c r="K28" i="74"/>
  <c r="I28" i="74"/>
  <c r="G28" i="74"/>
  <c r="F28" i="74"/>
  <c r="R27" i="74"/>
  <c r="L27" i="74"/>
  <c r="C27" i="74" s="1"/>
  <c r="K27" i="74"/>
  <c r="I27" i="74"/>
  <c r="G27" i="74"/>
  <c r="F27" i="74"/>
  <c r="R26" i="74"/>
  <c r="L26" i="74"/>
  <c r="K26" i="74"/>
  <c r="I26" i="74"/>
  <c r="G26" i="74"/>
  <c r="F26" i="74"/>
  <c r="R25" i="74"/>
  <c r="L25" i="74"/>
  <c r="K25" i="74"/>
  <c r="I25" i="74"/>
  <c r="G25" i="74"/>
  <c r="F25" i="74"/>
  <c r="R24" i="74"/>
  <c r="L24" i="74"/>
  <c r="C24" i="74" s="1"/>
  <c r="K24" i="74"/>
  <c r="I24" i="74"/>
  <c r="G24" i="74"/>
  <c r="F24" i="74"/>
  <c r="R23" i="74"/>
  <c r="L23" i="74"/>
  <c r="C23" i="74" s="1"/>
  <c r="K23" i="74"/>
  <c r="I23" i="74"/>
  <c r="G23" i="74"/>
  <c r="F23" i="74"/>
  <c r="R22" i="74"/>
  <c r="L22" i="74"/>
  <c r="C22" i="74" s="1"/>
  <c r="K22" i="74"/>
  <c r="I22" i="74"/>
  <c r="G22" i="74"/>
  <c r="F22" i="74"/>
  <c r="R21" i="74"/>
  <c r="L21" i="74"/>
  <c r="C21" i="74" s="1"/>
  <c r="K21" i="74"/>
  <c r="I21" i="74"/>
  <c r="G21" i="74"/>
  <c r="F21" i="74"/>
  <c r="R20" i="74"/>
  <c r="L20" i="74"/>
  <c r="K20" i="74"/>
  <c r="I20" i="74"/>
  <c r="G20" i="74"/>
  <c r="F20" i="74"/>
  <c r="R19" i="74"/>
  <c r="M19" i="74"/>
  <c r="L19" i="74"/>
  <c r="K19" i="74"/>
  <c r="I19" i="74"/>
  <c r="G19" i="74"/>
  <c r="F19" i="74"/>
  <c r="C19" i="74"/>
  <c r="R18" i="74"/>
  <c r="L18" i="74"/>
  <c r="C18" i="74" s="1"/>
  <c r="K18" i="74"/>
  <c r="I18" i="74"/>
  <c r="G18" i="74"/>
  <c r="F18" i="74"/>
  <c r="R17" i="74"/>
  <c r="L17" i="74"/>
  <c r="C17" i="74" s="1"/>
  <c r="K17" i="74"/>
  <c r="I17" i="74"/>
  <c r="G17" i="74"/>
  <c r="F17" i="74"/>
  <c r="M18" i="74" l="1"/>
  <c r="M30" i="74"/>
  <c r="M25" i="74"/>
  <c r="M22" i="74"/>
  <c r="C31" i="74"/>
  <c r="M24" i="74"/>
  <c r="C26" i="74"/>
  <c r="C20" i="74"/>
  <c r="C25" i="74"/>
  <c r="M31" i="74"/>
  <c r="M28" i="74"/>
  <c r="D18" i="74"/>
  <c r="M17" i="74"/>
  <c r="M23" i="74"/>
  <c r="M29" i="74"/>
  <c r="M21" i="74"/>
  <c r="M27" i="74"/>
  <c r="M20" i="74"/>
  <c r="M26" i="74"/>
  <c r="D22" i="74" l="1"/>
  <c r="D17" i="74"/>
  <c r="D20" i="74"/>
  <c r="D29" i="74"/>
  <c r="D25" i="74"/>
  <c r="D31" i="74"/>
  <c r="D19" i="74"/>
  <c r="D30" i="74"/>
  <c r="D24" i="74"/>
  <c r="D21" i="74"/>
  <c r="D28" i="74"/>
  <c r="D26" i="74"/>
  <c r="D23" i="74"/>
  <c r="D27" i="74"/>
  <c r="N20" i="74" l="1"/>
  <c r="N31" i="74"/>
  <c r="N19" i="74"/>
  <c r="N29" i="74"/>
  <c r="N17" i="74"/>
  <c r="N28" i="74"/>
  <c r="N27" i="74"/>
  <c r="N21" i="74"/>
  <c r="N30" i="74"/>
  <c r="N25" i="74"/>
  <c r="N18" i="74"/>
  <c r="N26" i="74"/>
  <c r="N24" i="74"/>
  <c r="N23" i="74"/>
  <c r="N22" i="74"/>
</calcChain>
</file>

<file path=xl/sharedStrings.xml><?xml version="1.0" encoding="utf-8"?>
<sst xmlns="http://schemas.openxmlformats.org/spreadsheetml/2006/main" count="415" uniqueCount="71">
  <si>
    <t>외국인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</si>
  <si>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</si>
  <si>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</si>
  <si>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</si>
  <si>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</si>
  <si>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</si>
  <si>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</si>
  <si>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</si>
  <si>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</si>
  <si>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</si>
  <si>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</si>
  <si>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(단위 : 명, 세대)</t>
    <phoneticPr fontId="3" type="noConversion"/>
  </si>
  <si>
    <t>구         분</t>
    <phoneticPr fontId="3" type="noConversion"/>
  </si>
  <si>
    <t>세  대  수</t>
    <phoneticPr fontId="3" type="noConversion"/>
  </si>
  <si>
    <t>지역별
전체인구
비율</t>
    <phoneticPr fontId="3" type="noConversion"/>
  </si>
  <si>
    <t>내  국  인</t>
    <phoneticPr fontId="3" type="noConversion"/>
  </si>
  <si>
    <r>
      <t xml:space="preserve">세대수
</t>
    </r>
    <r>
      <rPr>
        <b/>
        <sz val="8"/>
        <rFont val="함초롬돋움"/>
        <family val="3"/>
        <charset val="129"/>
      </rPr>
      <t>(외국인제외</t>
    </r>
    <r>
      <rPr>
        <b/>
        <sz val="10"/>
        <rFont val="함초롬돋움"/>
        <family val="3"/>
        <charset val="129"/>
      </rPr>
      <t>)</t>
    </r>
    <phoneticPr fontId="3" type="noConversion"/>
  </si>
  <si>
    <t>전월대비
증   감</t>
    <phoneticPr fontId="3" type="noConversion"/>
  </si>
  <si>
    <t>내국인 계</t>
    <phoneticPr fontId="3" type="noConversion"/>
  </si>
  <si>
    <t>지역별
내국인 비율</t>
    <phoneticPr fontId="3" type="noConversion"/>
  </si>
  <si>
    <t>남</t>
    <phoneticPr fontId="3" type="noConversion"/>
  </si>
  <si>
    <t>여</t>
    <phoneticPr fontId="3" type="noConversion"/>
  </si>
  <si>
    <t>외국인 계</t>
    <phoneticPr fontId="3" type="noConversion"/>
  </si>
  <si>
    <t>지역별
외국인 비율</t>
    <phoneticPr fontId="3" type="noConversion"/>
  </si>
  <si>
    <t>외국인 남</t>
    <phoneticPr fontId="3" type="noConversion"/>
  </si>
  <si>
    <t>외국인 여</t>
    <phoneticPr fontId="3" type="noConversion"/>
  </si>
  <si>
    <t>계</t>
    <phoneticPr fontId="3" type="noConversion"/>
  </si>
  <si>
    <r>
      <t>한솔동</t>
    </r>
    <r>
      <rPr>
        <b/>
        <vertAlign val="superscript"/>
        <sz val="10"/>
        <rFont val="함초롬돋움"/>
        <family val="3"/>
        <charset val="129"/>
      </rPr>
      <t>1)</t>
    </r>
    <phoneticPr fontId="3" type="noConversion"/>
  </si>
  <si>
    <t>아름동</t>
    <phoneticPr fontId="3" type="noConversion"/>
  </si>
  <si>
    <t>종촌동</t>
    <phoneticPr fontId="3" type="noConversion"/>
  </si>
  <si>
    <t>고운동</t>
    <phoneticPr fontId="3" type="noConversion"/>
  </si>
  <si>
    <t>소담동</t>
    <phoneticPr fontId="2" type="noConversion"/>
  </si>
  <si>
    <t>보람동</t>
    <phoneticPr fontId="2" type="noConversion"/>
  </si>
  <si>
    <r>
      <t xml:space="preserve">전체인구
</t>
    </r>
    <r>
      <rPr>
        <b/>
        <sz val="9"/>
        <rFont val="함초롬돋움"/>
        <family val="3"/>
        <charset val="129"/>
      </rPr>
      <t>(내국인+
외국인)</t>
    </r>
    <phoneticPr fontId="3" type="noConversion"/>
  </si>
  <si>
    <t>새롬동</t>
    <phoneticPr fontId="2" type="noConversion"/>
  </si>
  <si>
    <r>
      <t>해밀동</t>
    </r>
    <r>
      <rPr>
        <b/>
        <vertAlign val="superscript"/>
        <sz val="10"/>
        <rFont val="함초롬돋움"/>
        <family val="3"/>
        <charset val="129"/>
      </rPr>
      <t>3)</t>
    </r>
    <phoneticPr fontId="2" type="noConversion"/>
  </si>
  <si>
    <r>
      <t>반곡동</t>
    </r>
    <r>
      <rPr>
        <b/>
        <vertAlign val="superscript"/>
        <sz val="10"/>
        <rFont val="함초롬돋움"/>
        <family val="3"/>
        <charset val="129"/>
      </rPr>
      <t>4)</t>
    </r>
    <phoneticPr fontId="2" type="noConversion"/>
  </si>
  <si>
    <t>세대당
인   구</t>
    <phoneticPr fontId="3" type="noConversion"/>
  </si>
  <si>
    <t>전월인구수</t>
    <phoneticPr fontId="3" type="noConversion"/>
  </si>
  <si>
    <t>전월세대수</t>
    <phoneticPr fontId="3" type="noConversion"/>
  </si>
  <si>
    <t>나성동</t>
    <phoneticPr fontId="2" type="noConversion"/>
  </si>
  <si>
    <t>도담동</t>
    <phoneticPr fontId="3" type="noConversion"/>
  </si>
  <si>
    <t>어진동</t>
    <phoneticPr fontId="2" type="noConversion"/>
  </si>
  <si>
    <r>
      <t>해밀동</t>
    </r>
    <r>
      <rPr>
        <b/>
        <vertAlign val="superscript"/>
        <sz val="10"/>
        <rFont val="함초롬돋움"/>
        <family val="3"/>
        <charset val="129"/>
      </rPr>
      <t>2)</t>
    </r>
    <phoneticPr fontId="2" type="noConversion"/>
  </si>
  <si>
    <r>
      <t>반곡동</t>
    </r>
    <r>
      <rPr>
        <b/>
        <vertAlign val="superscript"/>
        <sz val="10"/>
        <rFont val="함초롬돋움"/>
        <family val="3"/>
        <charset val="129"/>
      </rPr>
      <t>3)</t>
    </r>
    <phoneticPr fontId="2" type="noConversion"/>
  </si>
  <si>
    <t>대평동</t>
    <phoneticPr fontId="2" type="noConversion"/>
  </si>
  <si>
    <t>다정동</t>
    <phoneticPr fontId="2" type="noConversion"/>
  </si>
  <si>
    <t>1) 가람동 포함  2) 산울동 포함  3) 집현동,합강동 포함</t>
    <phoneticPr fontId="3" type="noConversion"/>
  </si>
  <si>
    <t>비      고</t>
    <phoneticPr fontId="3" type="noConversion"/>
  </si>
  <si>
    <t>구성비(여)
(%)</t>
    <phoneticPr fontId="3" type="noConversion"/>
  </si>
  <si>
    <t>구성비(남)
(%)</t>
    <phoneticPr fontId="3" type="noConversion"/>
  </si>
  <si>
    <t>2023년 9월 세종특별자치시 인구 현황</t>
    <phoneticPr fontId="3" type="noConversion"/>
  </si>
  <si>
    <t xml:space="preserve">작성기준 : 2023. 9. 31. </t>
    <phoneticPr fontId="3" type="noConversion"/>
  </si>
  <si>
    <t>계</t>
  </si>
  <si>
    <t>2024년 1월 세종특별자치시 인구 현황</t>
    <phoneticPr fontId="3" type="noConversion"/>
  </si>
  <si>
    <t xml:space="preserve">작성기준 : 2024. 1. 31. </t>
    <phoneticPr fontId="3" type="noConversion"/>
  </si>
  <si>
    <t>2024년 2월 세종특별자치시 인구 현황</t>
    <phoneticPr fontId="3" type="noConversion"/>
  </si>
  <si>
    <t xml:space="preserve">작성기준 : 2024. 2. 29. </t>
    <phoneticPr fontId="3" type="noConversion"/>
  </si>
  <si>
    <t>2024년 3월 세종특별자치시 인구 현황</t>
    <phoneticPr fontId="3" type="noConversion"/>
  </si>
  <si>
    <t xml:space="preserve">작성기준 : 2024. 3. 31. </t>
    <phoneticPr fontId="3" type="noConversion"/>
  </si>
  <si>
    <t>1) 가람동 포함  2) 산울동 포함  3) 집현동, 합강동 포함</t>
    <phoneticPr fontId="3" type="noConversion"/>
  </si>
  <si>
    <t xml:space="preserve">작성기준 : 2024. 4. 30. </t>
    <phoneticPr fontId="3" type="noConversion"/>
  </si>
  <si>
    <t>2024년 4월 세종특별자치시 인구 현황</t>
    <phoneticPr fontId="3" type="noConversion"/>
  </si>
  <si>
    <t>2024년 5월 세종특별자치시 인구 현황</t>
    <phoneticPr fontId="3" type="noConversion"/>
  </si>
  <si>
    <t xml:space="preserve">작성기준 : 2024. 5. 31. </t>
    <phoneticPr fontId="3" type="noConversion"/>
  </si>
  <si>
    <r>
      <t>나성동</t>
    </r>
    <r>
      <rPr>
        <b/>
        <vertAlign val="superscript"/>
        <sz val="10"/>
        <rFont val="함초롬돋움"/>
        <family val="3"/>
        <charset val="129"/>
      </rPr>
      <t>2)</t>
    </r>
    <phoneticPr fontId="2" type="noConversion"/>
  </si>
  <si>
    <t>1) 가람동 포함  2) 세종동 포함  3) 산울동, 한별동 포함  4) 집현동, 다솜동, 합강동 포함</t>
    <phoneticPr fontId="3" type="noConversion"/>
  </si>
  <si>
    <t>2024년 6월 세종특별자치시 인구 현황</t>
    <phoneticPr fontId="3" type="noConversion"/>
  </si>
  <si>
    <t xml:space="preserve">작성기준 : 2024. 6. 30. </t>
    <phoneticPr fontId="3" type="noConversion"/>
  </si>
  <si>
    <t>2024년 7월 세종특별자치시 인구 현황</t>
    <phoneticPr fontId="3" type="noConversion"/>
  </si>
  <si>
    <t xml:space="preserve">작성기준 : 2024. 7. 31.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</si>
</sst>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  <numFmt numFmtId="178" formatCode="#,##0\ "/>
    <numFmt numFmtId="179" formatCode="0.0_);[Red]\(0.0\)"/>
    <numFmt numFmtId="180" formatCode="[Red]\▲#;[Blue]\▼#;[Black]\-"/>
    <numFmt numFmtId="181" formatCode="###,###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vertAlign val="superscript"/>
      <sz val="10"/>
      <name val="함초롬돋움"/>
      <family val="3"/>
      <charset val="129"/>
    </font>
    <font>
      <b/>
      <sz val="10"/>
      <name val="함초롬돋움"/>
      <family val="3"/>
      <charset val="129"/>
    </font>
    <font>
      <sz val="10"/>
      <name val="함초롬돋움"/>
      <family val="3"/>
      <charset val="129"/>
    </font>
    <font>
      <b/>
      <sz val="18"/>
      <name val="함초롬돋움"/>
      <family val="3"/>
      <charset val="129"/>
    </font>
    <font>
      <b/>
      <sz val="11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8"/>
      <name val="함초롬돋움"/>
      <family val="3"/>
      <charset val="129"/>
    </font>
    <font>
      <b/>
      <sz val="10"/>
      <color theme="1"/>
      <name val="함초롬돋움"/>
      <family val="3"/>
      <charset val="129"/>
    </font>
    <font>
      <b/>
      <sz val="9"/>
      <name val="함초롬돋움"/>
      <family val="3"/>
      <charset val="129"/>
    </font>
    <font>
      <sz val="10"/>
      <name val="함초롬돋움"/>
      <family val="1"/>
      <charset val="129"/>
    </font>
    <font>
      <sz val="11"/>
      <name val="함초롬돋움"/>
      <family val="1"/>
      <charset val="129"/>
    </font>
    <font>
      <sz val="10"/>
      <color theme="1"/>
      <name val="새굴림"/>
      <family val="1"/>
      <charset val="129"/>
    </font>
    <font>
      <sz val="10"/>
      <name val="굴림체"/>
      <family val="3"/>
      <charset val="129"/>
    </font>
    <font>
      <i/>
      <sz val="11"/>
      <color theme="1"/>
      <name val="맑은 고딕"/>
      <family val="3"/>
      <charset val="129"/>
      <scheme val="minor"/>
    </font>
    <font>
      <sz val="10"/>
      <color rgb="FF000000"/>
      <name val="함초롬돋움"/>
      <family val="3"/>
      <charset val="129"/>
    </font>
    <font>
      <b/>
      <sz val="20"/>
      <name val="맑은 고딕"/>
      <family val="3"/>
      <charset val="129"/>
      <scheme val="major"/>
    </font>
    <font>
      <b/>
      <sz val="18"/>
      <name val="바탕체"/>
      <family val="1"/>
      <charset val="129"/>
    </font>
    <font>
      <b/>
      <sz val="11"/>
      <name val="함초롬돋움"/>
      <family val="1"/>
      <charset val="129"/>
    </font>
    <font>
      <b/>
      <sz val="12"/>
      <name val="함초롬돋움"/>
      <family val="1"/>
      <charset val="129"/>
    </font>
    <font>
      <sz val="10"/>
      <name val="맑은 고딕"/>
      <family val="3"/>
      <charset val="129"/>
      <scheme val="major"/>
    </font>
    <font>
      <sz val="10"/>
      <name val="맑은고딕"/>
      <family val="3"/>
      <charset val="129"/>
    </font>
    <font>
      <sz val="11"/>
      <name val="맑은 고딕"/>
      <family val="3"/>
      <charset val="129"/>
      <scheme val="major"/>
    </font>
    <font>
      <sz val="11"/>
      <color rgb="FF494949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DFFFF"/>
        <bgColor indexed="64"/>
      </patternFill>
    </fill>
    <fill>
      <patternFill patternType="solid">
        <fgColor rgb="FF95E3F5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ED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6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41" fontId="5" fillId="2" borderId="7" xfId="1" applyFont="1" applyFill="1" applyBorder="1" applyAlignment="1">
      <alignment horizontal="center" vertical="center"/>
    </xf>
    <xf numFmtId="178" fontId="11" fillId="6" borderId="10" xfId="0" applyNumberFormat="1" applyFont="1" applyFill="1" applyBorder="1">
      <alignment vertical="center"/>
    </xf>
    <xf numFmtId="0" fontId="5" fillId="0" borderId="7" xfId="0" applyFont="1" applyFill="1" applyBorder="1" applyAlignment="1">
      <alignment horizontal="center" vertical="center"/>
    </xf>
    <xf numFmtId="178" fontId="11" fillId="5" borderId="7" xfId="0" applyNumberFormat="1" applyFont="1" applyFill="1" applyBorder="1">
      <alignment vertical="center"/>
    </xf>
    <xf numFmtId="177" fontId="6" fillId="0" borderId="7" xfId="1" applyNumberFormat="1" applyFont="1" applyFill="1" applyBorder="1" applyAlignment="1">
      <alignment horizontal="right" vertical="center"/>
    </xf>
    <xf numFmtId="0" fontId="6" fillId="0" borderId="7" xfId="0" applyFont="1" applyBorder="1">
      <alignment vertical="center"/>
    </xf>
    <xf numFmtId="41" fontId="5" fillId="0" borderId="7" xfId="1" applyFont="1" applyFill="1" applyBorder="1" applyAlignment="1">
      <alignment horizontal="right" vertical="center"/>
    </xf>
    <xf numFmtId="41" fontId="5" fillId="0" borderId="7" xfId="1" applyFont="1" applyFill="1" applyBorder="1" applyAlignment="1">
      <alignment vertical="center"/>
    </xf>
    <xf numFmtId="178" fontId="5" fillId="0" borderId="7" xfId="0" applyNumberFormat="1" applyFont="1" applyFill="1" applyBorder="1">
      <alignment vertical="center"/>
    </xf>
    <xf numFmtId="0" fontId="11" fillId="0" borderId="7" xfId="0" applyFont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177" fontId="5" fillId="0" borderId="10" xfId="0" applyNumberFormat="1" applyFont="1" applyFill="1" applyBorder="1" applyAlignment="1">
      <alignment horizontal="right" vertical="center"/>
    </xf>
    <xf numFmtId="177" fontId="6" fillId="0" borderId="7" xfId="0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center" vertical="center"/>
    </xf>
    <xf numFmtId="41" fontId="5" fillId="0" borderId="2" xfId="1" applyFont="1" applyFill="1" applyBorder="1" applyAlignment="1">
      <alignment vertical="center"/>
    </xf>
    <xf numFmtId="41" fontId="5" fillId="0" borderId="10" xfId="1" applyFont="1" applyFill="1" applyBorder="1" applyAlignment="1">
      <alignment vertical="center"/>
    </xf>
    <xf numFmtId="3" fontId="5" fillId="6" borderId="10" xfId="1" applyNumberFormat="1" applyFont="1" applyFill="1" applyBorder="1" applyAlignment="1">
      <alignment horizontal="right" vertical="center"/>
    </xf>
    <xf numFmtId="3" fontId="0" fillId="0" borderId="0" xfId="0" applyNumberFormat="1">
      <alignment vertical="center"/>
    </xf>
    <xf numFmtId="0" fontId="6" fillId="0" borderId="0" xfId="0" applyFont="1" applyFill="1" applyBorder="1" applyAlignment="1">
      <alignment vertical="center"/>
    </xf>
    <xf numFmtId="41" fontId="1" fillId="0" borderId="7" xfId="1" applyBorder="1" applyAlignment="1">
      <alignment horizontal="center" vertical="center"/>
    </xf>
    <xf numFmtId="3" fontId="11" fillId="5" borderId="7" xfId="0" applyNumberFormat="1" applyFont="1" applyFill="1" applyBorder="1" applyAlignment="1">
      <alignment horizontal="right" vertical="center"/>
    </xf>
    <xf numFmtId="3" fontId="11" fillId="5" borderId="2" xfId="0" applyNumberFormat="1" applyFont="1" applyFill="1" applyBorder="1" applyAlignment="1">
      <alignment horizontal="right" vertical="center"/>
    </xf>
    <xf numFmtId="3" fontId="11" fillId="5" borderId="10" xfId="0" applyNumberFormat="1" applyFont="1" applyFill="1" applyBorder="1" applyAlignment="1">
      <alignment horizontal="right" vertical="center"/>
    </xf>
    <xf numFmtId="178" fontId="11" fillId="7" borderId="10" xfId="0" applyNumberFormat="1" applyFont="1" applyFill="1" applyBorder="1" applyAlignment="1">
      <alignment horizontal="right" vertical="center"/>
    </xf>
    <xf numFmtId="180" fontId="5" fillId="9" borderId="10" xfId="1" applyNumberFormat="1" applyFont="1" applyFill="1" applyBorder="1" applyAlignment="1">
      <alignment horizontal="right" vertical="center"/>
    </xf>
    <xf numFmtId="180" fontId="5" fillId="8" borderId="10" xfId="1" applyNumberFormat="1" applyFont="1" applyFill="1" applyBorder="1" applyAlignment="1">
      <alignment horizontal="right" vertical="center"/>
    </xf>
    <xf numFmtId="3" fontId="11" fillId="3" borderId="7" xfId="0" applyNumberFormat="1" applyFont="1" applyFill="1" applyBorder="1" applyAlignment="1">
      <alignment horizontal="right" vertical="center"/>
    </xf>
    <xf numFmtId="3" fontId="11" fillId="4" borderId="7" xfId="0" applyNumberFormat="1" applyFont="1" applyFill="1" applyBorder="1" applyAlignment="1">
      <alignment horizontal="right" vertical="center"/>
    </xf>
    <xf numFmtId="3" fontId="11" fillId="4" borderId="2" xfId="0" applyNumberFormat="1" applyFont="1" applyFill="1" applyBorder="1" applyAlignment="1">
      <alignment horizontal="right" vertical="center"/>
    </xf>
    <xf numFmtId="3" fontId="11" fillId="4" borderId="10" xfId="0" applyNumberFormat="1" applyFont="1" applyFill="1" applyBorder="1" applyAlignment="1">
      <alignment horizontal="right" vertical="center"/>
    </xf>
    <xf numFmtId="10" fontId="6" fillId="0" borderId="7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Border="1">
      <alignment vertical="center"/>
    </xf>
    <xf numFmtId="0" fontId="0" fillId="0" borderId="0" xfId="0" applyFill="1" applyBorder="1">
      <alignment vertical="center"/>
    </xf>
    <xf numFmtId="41" fontId="0" fillId="0" borderId="0" xfId="0" applyNumberFormat="1" applyFill="1" applyBorder="1">
      <alignment vertical="center"/>
    </xf>
    <xf numFmtId="181" fontId="15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>
      <alignment vertical="center"/>
    </xf>
    <xf numFmtId="179" fontId="16" fillId="0" borderId="0" xfId="0" applyNumberFormat="1" applyFont="1" applyBorder="1">
      <alignment vertical="center"/>
    </xf>
    <xf numFmtId="0" fontId="17" fillId="0" borderId="0" xfId="0" applyFont="1">
      <alignment vertical="center"/>
    </xf>
    <xf numFmtId="3" fontId="11" fillId="6" borderId="7" xfId="0" applyNumberFormat="1" applyFont="1" applyFill="1" applyBorder="1" applyAlignment="1">
      <alignment horizontal="right" vertical="center"/>
    </xf>
    <xf numFmtId="3" fontId="11" fillId="7" borderId="7" xfId="0" applyNumberFormat="1" applyFont="1" applyFill="1" applyBorder="1">
      <alignment vertical="center"/>
    </xf>
    <xf numFmtId="3" fontId="18" fillId="11" borderId="13" xfId="1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179" fontId="16" fillId="0" borderId="0" xfId="0" applyNumberFormat="1" applyFont="1">
      <alignment vertical="center"/>
    </xf>
    <xf numFmtId="0" fontId="0" fillId="0" borderId="0" xfId="0" applyFill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176" fontId="24" fillId="0" borderId="0" xfId="0" applyNumberFormat="1" applyFont="1" applyBorder="1" applyAlignment="1">
      <alignment vertical="center"/>
    </xf>
    <xf numFmtId="179" fontId="24" fillId="0" borderId="0" xfId="0" applyNumberFormat="1" applyFont="1" applyBorder="1" applyAlignment="1">
      <alignment vertical="center"/>
    </xf>
    <xf numFmtId="0" fontId="13" fillId="0" borderId="0" xfId="0" applyFont="1" applyBorder="1" applyAlignment="1">
      <alignment horizontal="right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43" fontId="5" fillId="0" borderId="12" xfId="1" applyNumberFormat="1" applyFont="1" applyFill="1" applyBorder="1" applyAlignment="1">
      <alignment horizontal="right" vertical="center"/>
    </xf>
    <xf numFmtId="0" fontId="6" fillId="0" borderId="7" xfId="1" applyNumberFormat="1" applyFont="1" applyFill="1" applyBorder="1" applyAlignment="1">
      <alignment horizontal="right" vertical="center"/>
    </xf>
    <xf numFmtId="0" fontId="6" fillId="0" borderId="2" xfId="1" applyNumberFormat="1" applyFont="1" applyFill="1" applyBorder="1" applyAlignment="1">
      <alignment horizontal="right" vertical="center"/>
    </xf>
    <xf numFmtId="0" fontId="6" fillId="0" borderId="10" xfId="1" applyNumberFormat="1" applyFont="1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5" fillId="0" borderId="0" xfId="0" applyFont="1" applyFill="1" applyBorder="1">
      <alignment vertical="center"/>
    </xf>
    <xf numFmtId="176" fontId="25" fillId="0" borderId="0" xfId="0" applyNumberFormat="1" applyFont="1" applyFill="1" applyBorder="1">
      <alignment vertical="center"/>
    </xf>
    <xf numFmtId="177" fontId="25" fillId="0" borderId="0" xfId="0" applyNumberFormat="1" applyFont="1" applyFill="1" applyBorder="1">
      <alignment vertical="center"/>
    </xf>
    <xf numFmtId="178" fontId="25" fillId="0" borderId="0" xfId="0" applyNumberFormat="1" applyFont="1" applyFill="1" applyBorder="1">
      <alignment vertical="center"/>
    </xf>
    <xf numFmtId="176" fontId="25" fillId="0" borderId="0" xfId="0" applyNumberFormat="1" applyFont="1" applyBorder="1">
      <alignment vertical="center"/>
    </xf>
    <xf numFmtId="179" fontId="23" fillId="0" borderId="0" xfId="0" applyNumberFormat="1" applyFont="1" applyBorder="1">
      <alignment vertical="center"/>
    </xf>
    <xf numFmtId="0" fontId="25" fillId="0" borderId="0" xfId="0" applyFont="1">
      <alignment vertical="center"/>
    </xf>
    <xf numFmtId="0" fontId="23" fillId="0" borderId="0" xfId="0" applyFont="1" applyBorder="1" applyAlignment="1">
      <alignment horizontal="left" vertical="center"/>
    </xf>
    <xf numFmtId="2" fontId="5" fillId="10" borderId="12" xfId="1" applyNumberFormat="1" applyFont="1" applyFill="1" applyBorder="1" applyAlignment="1">
      <alignment horizontal="right" vertical="center"/>
    </xf>
    <xf numFmtId="2" fontId="6" fillId="0" borderId="7" xfId="1" applyNumberFormat="1" applyFont="1" applyFill="1" applyBorder="1" applyAlignment="1">
      <alignment horizontal="right" vertical="center"/>
    </xf>
    <xf numFmtId="10" fontId="6" fillId="0" borderId="12" xfId="1" applyNumberFormat="1" applyFont="1" applyFill="1" applyBorder="1" applyAlignment="1">
      <alignment horizontal="right" vertical="center"/>
    </xf>
    <xf numFmtId="3" fontId="26" fillId="0" borderId="0" xfId="0" applyNumberFormat="1" applyFo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80" fontId="5" fillId="0" borderId="10" xfId="1" applyNumberFormat="1" applyFont="1" applyFill="1" applyBorder="1" applyAlignment="1">
      <alignment horizontal="right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3" fontId="11" fillId="6" borderId="10" xfId="0" applyNumberFormat="1" applyFont="1" applyFill="1" applyBorder="1" applyAlignment="1">
      <alignment horizontal="right" vertical="center"/>
    </xf>
    <xf numFmtId="3" fontId="11" fillId="7" borderId="10" xfId="0" applyNumberFormat="1" applyFont="1" applyFill="1" applyBorder="1">
      <alignment vertical="center"/>
    </xf>
    <xf numFmtId="10" fontId="6" fillId="0" borderId="10" xfId="1" applyNumberFormat="1" applyFont="1" applyFill="1" applyBorder="1" applyAlignment="1">
      <alignment horizontal="right" vertical="center"/>
    </xf>
    <xf numFmtId="3" fontId="11" fillId="3" borderId="10" xfId="0" applyNumberFormat="1" applyFont="1" applyFill="1" applyBorder="1" applyAlignment="1">
      <alignment horizontal="right" vertical="center"/>
    </xf>
    <xf numFmtId="2" fontId="5" fillId="10" borderId="10" xfId="1" applyNumberFormat="1" applyFont="1" applyFill="1" applyBorder="1" applyAlignment="1">
      <alignment horizontal="right" vertical="center"/>
    </xf>
    <xf numFmtId="41" fontId="5" fillId="2" borderId="16" xfId="1" applyFont="1" applyFill="1" applyBorder="1" applyAlignment="1">
      <alignment horizontal="center" vertical="center"/>
    </xf>
    <xf numFmtId="41" fontId="5" fillId="2" borderId="16" xfId="1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43" fontId="5" fillId="0" borderId="30" xfId="1" applyNumberFormat="1" applyFont="1" applyFill="1" applyBorder="1" applyAlignment="1">
      <alignment horizontal="right" vertical="center"/>
    </xf>
    <xf numFmtId="0" fontId="5" fillId="0" borderId="31" xfId="0" applyFont="1" applyFill="1" applyBorder="1" applyAlignment="1">
      <alignment horizontal="center" vertical="center"/>
    </xf>
    <xf numFmtId="41" fontId="5" fillId="0" borderId="32" xfId="1" applyFont="1" applyFill="1" applyBorder="1" applyAlignment="1">
      <alignment horizontal="right" vertical="center"/>
    </xf>
    <xf numFmtId="41" fontId="5" fillId="0" borderId="32" xfId="1" applyFont="1" applyFill="1" applyBorder="1" applyAlignment="1">
      <alignment vertical="center"/>
    </xf>
    <xf numFmtId="0" fontId="5" fillId="0" borderId="33" xfId="0" applyFont="1" applyFill="1" applyBorder="1" applyAlignment="1">
      <alignment horizontal="center" vertical="center"/>
    </xf>
    <xf numFmtId="41" fontId="5" fillId="0" borderId="34" xfId="1" applyFont="1" applyFill="1" applyBorder="1" applyAlignment="1">
      <alignment vertical="center"/>
    </xf>
    <xf numFmtId="0" fontId="5" fillId="0" borderId="29" xfId="0" applyFont="1" applyFill="1" applyBorder="1" applyAlignment="1">
      <alignment horizontal="center" vertical="center"/>
    </xf>
    <xf numFmtId="41" fontId="5" fillId="0" borderId="30" xfId="1" applyFont="1" applyFill="1" applyBorder="1" applyAlignment="1">
      <alignment vertical="center"/>
    </xf>
    <xf numFmtId="0" fontId="6" fillId="0" borderId="32" xfId="0" applyFont="1" applyBorder="1">
      <alignment vertical="center"/>
    </xf>
    <xf numFmtId="178" fontId="5" fillId="0" borderId="32" xfId="0" applyNumberFormat="1" applyFont="1" applyFill="1" applyBorder="1">
      <alignment vertical="center"/>
    </xf>
    <xf numFmtId="0" fontId="11" fillId="0" borderId="31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178" fontId="11" fillId="5" borderId="36" xfId="0" applyNumberFormat="1" applyFont="1" applyFill="1" applyBorder="1">
      <alignment vertical="center"/>
    </xf>
    <xf numFmtId="177" fontId="6" fillId="0" borderId="36" xfId="0" applyNumberFormat="1" applyFont="1" applyFill="1" applyBorder="1" applyAlignment="1">
      <alignment horizontal="right" vertical="center"/>
    </xf>
    <xf numFmtId="3" fontId="11" fillId="5" borderId="36" xfId="0" applyNumberFormat="1" applyFont="1" applyFill="1" applyBorder="1" applyAlignment="1">
      <alignment horizontal="right" vertical="center"/>
    </xf>
    <xf numFmtId="10" fontId="6" fillId="0" borderId="36" xfId="1" applyNumberFormat="1" applyFont="1" applyFill="1" applyBorder="1" applyAlignment="1">
      <alignment horizontal="right" vertical="center"/>
    </xf>
    <xf numFmtId="180" fontId="5" fillId="8" borderId="37" xfId="1" applyNumberFormat="1" applyFont="1" applyFill="1" applyBorder="1" applyAlignment="1">
      <alignment horizontal="right" vertical="center"/>
    </xf>
    <xf numFmtId="3" fontId="18" fillId="11" borderId="38" xfId="1" applyNumberFormat="1" applyFont="1" applyFill="1" applyBorder="1" applyAlignment="1">
      <alignment horizontal="right" vertical="center"/>
    </xf>
    <xf numFmtId="177" fontId="6" fillId="0" borderId="36" xfId="1" applyNumberFormat="1" applyFont="1" applyFill="1" applyBorder="1" applyAlignment="1">
      <alignment horizontal="right" vertical="center"/>
    </xf>
    <xf numFmtId="180" fontId="5" fillId="0" borderId="37" xfId="1" applyNumberFormat="1" applyFont="1" applyFill="1" applyBorder="1" applyAlignment="1">
      <alignment horizontal="right" vertical="center"/>
    </xf>
    <xf numFmtId="0" fontId="6" fillId="0" borderId="36" xfId="1" applyNumberFormat="1" applyFont="1" applyFill="1" applyBorder="1" applyAlignment="1">
      <alignment horizontal="right" vertical="center"/>
    </xf>
    <xf numFmtId="3" fontId="11" fillId="4" borderId="36" xfId="0" applyNumberFormat="1" applyFont="1" applyFill="1" applyBorder="1" applyAlignment="1">
      <alignment horizontal="right" vertical="center"/>
    </xf>
    <xf numFmtId="0" fontId="6" fillId="0" borderId="39" xfId="0" applyFont="1" applyBorder="1">
      <alignment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 wrapText="1"/>
    </xf>
    <xf numFmtId="176" fontId="5" fillId="2" borderId="17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179" fontId="5" fillId="2" borderId="23" xfId="0" applyNumberFormat="1" applyFont="1" applyFill="1" applyBorder="1" applyAlignment="1">
      <alignment horizontal="center" vertical="center" wrapText="1"/>
    </xf>
    <xf numFmtId="179" fontId="5" fillId="2" borderId="9" xfId="0" applyNumberFormat="1" applyFont="1" applyFill="1" applyBorder="1" applyAlignment="1">
      <alignment horizontal="center" vertical="center" wrapText="1"/>
    </xf>
    <xf numFmtId="179" fontId="5" fillId="2" borderId="14" xfId="0" applyNumberFormat="1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79" fontId="5" fillId="2" borderId="2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EDFFB9"/>
      <color rgb="FF87CB94"/>
      <color rgb="FF95E3F5"/>
      <color rgb="FFFFCCFF"/>
      <color rgb="FFEAF4E4"/>
      <color rgb="FFDDFFFF"/>
      <color rgb="FFDEF3F6"/>
      <color rgb="FFD5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3C3-F8D8-4DD7-AFDC-FB31279E868A}">
  <sheetPr>
    <tabColor theme="7"/>
  </sheetPr>
  <dimension ref="A1:X35"/>
  <sheetViews>
    <sheetView tabSelected="1" zoomScale="130" zoomScaleNormal="130" workbookViewId="0">
      <selection activeCell="B2" sqref="B2:T2"/>
    </sheetView>
  </sheetViews>
  <sheetFormatPr defaultRowHeight="16.5"/>
  <cols>
    <col min="1" max="1" width="1.25" customWidth="1"/>
    <col min="6" max="6" width="10" customWidth="1"/>
    <col min="13" max="13" width="9.875" customWidth="1"/>
    <col min="21" max="21" width="23.75" customWidth="1"/>
    <col min="22" max="23" width="9.625" hidden="1" customWidth="1"/>
  </cols>
  <sheetData>
    <row r="1" spans="1:24">
      <c r="A1" s="39"/>
      <c r="B1" s="52"/>
      <c r="C1" s="1"/>
      <c r="D1" s="1"/>
      <c r="E1" s="53"/>
      <c r="F1" s="53"/>
      <c r="G1" s="53"/>
      <c r="H1" s="53"/>
      <c r="I1" s="53"/>
      <c r="J1" s="53"/>
      <c r="K1" s="53"/>
      <c r="L1" s="2"/>
      <c r="M1" s="2"/>
      <c r="N1" s="2"/>
      <c r="O1" s="2"/>
      <c r="P1" s="2"/>
      <c r="Q1" s="53"/>
      <c r="R1" s="54"/>
      <c r="S1" s="55"/>
      <c r="T1" s="53"/>
      <c r="U1" s="48"/>
    </row>
    <row r="2" spans="1:24" ht="31.5">
      <c r="A2" s="56"/>
      <c r="B2" s="149" t="s">
        <v>69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48"/>
    </row>
    <row r="3" spans="1:24" ht="26.25">
      <c r="A3" s="56"/>
      <c r="B3" s="57"/>
      <c r="C3" s="3"/>
      <c r="D3" s="3"/>
      <c r="E3" s="58"/>
      <c r="F3" s="58"/>
      <c r="G3" s="58"/>
      <c r="H3" s="58"/>
      <c r="I3" s="58"/>
      <c r="J3" s="58"/>
      <c r="K3" s="58"/>
      <c r="L3" s="4"/>
      <c r="M3" s="4"/>
      <c r="O3" s="26"/>
      <c r="P3" s="26"/>
      <c r="Q3" s="58"/>
      <c r="R3" s="59"/>
      <c r="S3" s="60"/>
      <c r="T3" s="58"/>
      <c r="U3" s="48"/>
    </row>
    <row r="4" spans="1:24" ht="18" thickBot="1">
      <c r="A4" s="39"/>
      <c r="B4" s="61" t="s">
        <v>70</v>
      </c>
      <c r="C4" s="5"/>
      <c r="D4" s="5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64"/>
      <c r="S4" s="65"/>
      <c r="T4" s="66" t="s">
        <v>11</v>
      </c>
      <c r="U4" s="48"/>
    </row>
    <row r="5" spans="1:24" ht="16.5" customHeight="1">
      <c r="A5" s="39"/>
      <c r="B5" s="150" t="s">
        <v>12</v>
      </c>
      <c r="C5" s="111"/>
      <c r="D5" s="111"/>
      <c r="E5" s="153"/>
      <c r="F5" s="153"/>
      <c r="G5" s="153"/>
      <c r="H5" s="153"/>
      <c r="I5" s="153"/>
      <c r="J5" s="153"/>
      <c r="K5" s="153"/>
      <c r="L5" s="143"/>
      <c r="M5" s="143"/>
      <c r="N5" s="143"/>
      <c r="O5" s="143"/>
      <c r="P5" s="143"/>
      <c r="Q5" s="154" t="s">
        <v>13</v>
      </c>
      <c r="R5" s="153"/>
      <c r="S5" s="155" t="s">
        <v>37</v>
      </c>
      <c r="T5" s="158" t="s">
        <v>48</v>
      </c>
      <c r="U5" s="48"/>
    </row>
    <row r="6" spans="1:24">
      <c r="A6" s="39"/>
      <c r="B6" s="151"/>
      <c r="C6" s="161" t="s">
        <v>33</v>
      </c>
      <c r="D6" s="163" t="s">
        <v>14</v>
      </c>
      <c r="E6" s="165" t="s">
        <v>15</v>
      </c>
      <c r="F6" s="166"/>
      <c r="G6" s="166"/>
      <c r="H6" s="166"/>
      <c r="I6" s="166"/>
      <c r="J6" s="166"/>
      <c r="K6" s="167"/>
      <c r="L6" s="168" t="s">
        <v>0</v>
      </c>
      <c r="M6" s="166"/>
      <c r="N6" s="166"/>
      <c r="O6" s="166"/>
      <c r="P6" s="167"/>
      <c r="Q6" s="145" t="s">
        <v>16</v>
      </c>
      <c r="R6" s="147" t="s">
        <v>17</v>
      </c>
      <c r="S6" s="156"/>
      <c r="T6" s="159"/>
      <c r="U6" s="48"/>
    </row>
    <row r="7" spans="1:24" ht="29.25" thickBot="1">
      <c r="A7" s="39"/>
      <c r="B7" s="152"/>
      <c r="C7" s="162"/>
      <c r="D7" s="164"/>
      <c r="E7" s="144" t="s">
        <v>18</v>
      </c>
      <c r="F7" s="67" t="s">
        <v>19</v>
      </c>
      <c r="G7" s="68" t="s">
        <v>17</v>
      </c>
      <c r="H7" s="69" t="s">
        <v>20</v>
      </c>
      <c r="I7" s="68" t="s">
        <v>50</v>
      </c>
      <c r="J7" s="69" t="s">
        <v>21</v>
      </c>
      <c r="K7" s="68" t="s">
        <v>49</v>
      </c>
      <c r="L7" s="109" t="s">
        <v>22</v>
      </c>
      <c r="M7" s="68" t="s">
        <v>23</v>
      </c>
      <c r="N7" s="68" t="s">
        <v>17</v>
      </c>
      <c r="O7" s="110" t="s">
        <v>24</v>
      </c>
      <c r="P7" s="109" t="s">
        <v>25</v>
      </c>
      <c r="Q7" s="146"/>
      <c r="R7" s="148"/>
      <c r="S7" s="157"/>
      <c r="T7" s="160"/>
      <c r="U7" s="48"/>
      <c r="V7" s="70" t="s">
        <v>38</v>
      </c>
      <c r="W7" s="70" t="s">
        <v>39</v>
      </c>
    </row>
    <row r="8" spans="1:24" ht="17.25" thickTop="1">
      <c r="A8" s="39"/>
      <c r="B8" s="113" t="s">
        <v>26</v>
      </c>
      <c r="C8" s="8">
        <f>SUM(C9:C32)</f>
        <v>394630</v>
      </c>
      <c r="D8" s="19">
        <f>SUM(D9:D32)</f>
        <v>1.0000000000000002</v>
      </c>
      <c r="E8" s="104">
        <v>388788</v>
      </c>
      <c r="F8" s="19">
        <f>SUM(F9:F32)</f>
        <v>1</v>
      </c>
      <c r="G8" s="32">
        <f>SUM(G9:G32)</f>
        <v>848</v>
      </c>
      <c r="H8" s="105">
        <v>193538</v>
      </c>
      <c r="I8" s="106">
        <f t="shared" ref="I8:K8" si="0">SUM(I9:I32)</f>
        <v>0.49779828595532782</v>
      </c>
      <c r="J8" s="105">
        <v>195250</v>
      </c>
      <c r="K8" s="106">
        <f t="shared" si="0"/>
        <v>0.50220171404467218</v>
      </c>
      <c r="L8" s="104">
        <f>SUM(O8:P8)</f>
        <v>5842</v>
      </c>
      <c r="M8" s="106">
        <f t="shared" ref="M8" si="1">SUM(M9:M32)</f>
        <v>0.99999999999999978</v>
      </c>
      <c r="N8" s="96">
        <f>L8-'24년 6월'!L8</f>
        <v>-11</v>
      </c>
      <c r="O8" s="31">
        <f>SUM(O9:O32)</f>
        <v>3576</v>
      </c>
      <c r="P8" s="31">
        <f>SUM(P9:P32)</f>
        <v>2266</v>
      </c>
      <c r="Q8" s="107">
        <v>162554</v>
      </c>
      <c r="R8" s="32">
        <f>SUM(R9:R32)</f>
        <v>393</v>
      </c>
      <c r="S8" s="108">
        <v>2.39</v>
      </c>
      <c r="T8" s="114"/>
      <c r="U8" s="92"/>
      <c r="V8" s="49">
        <v>386192</v>
      </c>
      <c r="W8" s="34">
        <v>160562</v>
      </c>
      <c r="X8" s="25"/>
    </row>
    <row r="9" spans="1:24">
      <c r="A9" s="39"/>
      <c r="B9" s="115" t="s">
        <v>1</v>
      </c>
      <c r="C9" s="10">
        <f t="shared" ref="C9:C32" si="2">E9+L9</f>
        <v>42154</v>
      </c>
      <c r="D9" s="20">
        <f t="shared" ref="D9:D32" si="3">C9/$C$8</f>
        <v>0.10681904568836632</v>
      </c>
      <c r="E9" s="28">
        <v>40498</v>
      </c>
      <c r="F9" s="38">
        <f>E9/$E$8</f>
        <v>0.10416473759478173</v>
      </c>
      <c r="G9" s="33">
        <f>E9-'24년 6월'!E9</f>
        <v>-30</v>
      </c>
      <c r="H9" s="51">
        <v>21036</v>
      </c>
      <c r="I9" s="38">
        <f>H9/$E$8</f>
        <v>5.4106608228649031E-2</v>
      </c>
      <c r="J9" s="51">
        <v>19462</v>
      </c>
      <c r="K9" s="38">
        <f>J9/$E$8</f>
        <v>5.00581293661327E-2</v>
      </c>
      <c r="L9" s="28">
        <f>SUM(O9:P9)</f>
        <v>1656</v>
      </c>
      <c r="M9" s="11">
        <f t="shared" ref="M9:M32" si="4">L9/$L$8</f>
        <v>0.28346456692913385</v>
      </c>
      <c r="N9" s="96">
        <f>L9-'24년 6월'!L9</f>
        <v>-17</v>
      </c>
      <c r="O9" s="73">
        <v>857</v>
      </c>
      <c r="P9" s="73">
        <v>799</v>
      </c>
      <c r="Q9" s="35">
        <v>20328</v>
      </c>
      <c r="R9" s="33">
        <f>Q9-'24년 6월'!Q9</f>
        <v>-14</v>
      </c>
      <c r="S9" s="90">
        <v>1.99</v>
      </c>
      <c r="T9" s="116"/>
      <c r="U9" s="48"/>
      <c r="V9" s="28">
        <v>41784</v>
      </c>
      <c r="W9" s="35">
        <v>20662</v>
      </c>
    </row>
    <row r="10" spans="1:24">
      <c r="A10" s="39"/>
      <c r="B10" s="115" t="s">
        <v>2</v>
      </c>
      <c r="C10" s="10">
        <f t="shared" si="2"/>
        <v>2500</v>
      </c>
      <c r="D10" s="20">
        <f t="shared" si="3"/>
        <v>6.3350480196639894E-3</v>
      </c>
      <c r="E10" s="28">
        <v>2409</v>
      </c>
      <c r="F10" s="38">
        <f t="shared" ref="F10:F32" si="5">E10/$E$8</f>
        <v>6.1961788944103211E-3</v>
      </c>
      <c r="G10" s="33">
        <f>E10-'24년 6월'!E10</f>
        <v>-5</v>
      </c>
      <c r="H10" s="51">
        <v>1384</v>
      </c>
      <c r="I10" s="38">
        <f t="shared" ref="I10:I32" si="6">H10/$E$8</f>
        <v>3.5597806516662039E-3</v>
      </c>
      <c r="J10" s="51">
        <v>1025</v>
      </c>
      <c r="K10" s="38">
        <f t="shared" ref="K10:K32" si="7">J10/$E$8</f>
        <v>2.6363982427441176E-3</v>
      </c>
      <c r="L10" s="28">
        <f t="shared" ref="L10:L32" si="8">SUM(O10:P10)</f>
        <v>91</v>
      </c>
      <c r="M10" s="11">
        <f t="shared" si="4"/>
        <v>1.5576857240671003E-2</v>
      </c>
      <c r="N10" s="96">
        <f>L10-'24년 6월'!L10</f>
        <v>4</v>
      </c>
      <c r="O10" s="73">
        <v>63</v>
      </c>
      <c r="P10" s="73">
        <v>28</v>
      </c>
      <c r="Q10" s="35">
        <v>1451</v>
      </c>
      <c r="R10" s="33">
        <f>Q10-'24년 6월'!Q10</f>
        <v>-8</v>
      </c>
      <c r="S10" s="73">
        <v>1.66</v>
      </c>
      <c r="T10" s="116"/>
      <c r="U10" s="48"/>
      <c r="V10" s="28">
        <v>2567</v>
      </c>
      <c r="W10" s="35">
        <v>1558</v>
      </c>
      <c r="X10" s="25"/>
    </row>
    <row r="11" spans="1:24">
      <c r="A11" s="39"/>
      <c r="B11" s="115" t="s">
        <v>3</v>
      </c>
      <c r="C11" s="10">
        <f t="shared" si="2"/>
        <v>2978</v>
      </c>
      <c r="D11" s="20">
        <f t="shared" si="3"/>
        <v>7.5463092010237438E-3</v>
      </c>
      <c r="E11" s="28">
        <v>2782</v>
      </c>
      <c r="F11" s="38">
        <f t="shared" si="5"/>
        <v>7.1555706451845221E-3</v>
      </c>
      <c r="G11" s="33">
        <f>E11-'24년 6월'!E11</f>
        <v>3</v>
      </c>
      <c r="H11" s="51">
        <v>1446</v>
      </c>
      <c r="I11" s="38">
        <f t="shared" si="6"/>
        <v>3.7192505941541407E-3</v>
      </c>
      <c r="J11" s="51">
        <v>1336</v>
      </c>
      <c r="K11" s="38">
        <f t="shared" si="7"/>
        <v>3.4363200510303814E-3</v>
      </c>
      <c r="L11" s="28">
        <f t="shared" si="8"/>
        <v>196</v>
      </c>
      <c r="M11" s="11">
        <f t="shared" si="4"/>
        <v>3.3550154056829852E-2</v>
      </c>
      <c r="N11" s="96">
        <f>L11-'24년 6월'!L11</f>
        <v>3</v>
      </c>
      <c r="O11" s="73">
        <v>158</v>
      </c>
      <c r="P11" s="73">
        <v>38</v>
      </c>
      <c r="Q11" s="35">
        <v>1639</v>
      </c>
      <c r="R11" s="33">
        <f>Q11-'24년 6월'!Q11</f>
        <v>1</v>
      </c>
      <c r="S11" s="73">
        <v>1.7</v>
      </c>
      <c r="T11" s="116"/>
      <c r="U11" s="48"/>
      <c r="V11" s="28">
        <v>2905</v>
      </c>
      <c r="W11" s="35">
        <v>1681</v>
      </c>
    </row>
    <row r="12" spans="1:24">
      <c r="A12" s="39"/>
      <c r="B12" s="115" t="s">
        <v>4</v>
      </c>
      <c r="C12" s="10">
        <f t="shared" si="2"/>
        <v>5755</v>
      </c>
      <c r="D12" s="20">
        <f t="shared" si="3"/>
        <v>1.4583280541266503E-2</v>
      </c>
      <c r="E12" s="28">
        <v>5419</v>
      </c>
      <c r="F12" s="38">
        <f t="shared" si="5"/>
        <v>1.3938187392614999E-2</v>
      </c>
      <c r="G12" s="33">
        <f>E12-'24년 6월'!E12</f>
        <v>-27</v>
      </c>
      <c r="H12" s="51">
        <v>2982</v>
      </c>
      <c r="I12" s="38">
        <f t="shared" si="6"/>
        <v>7.6699898145004474E-3</v>
      </c>
      <c r="J12" s="51">
        <v>2437</v>
      </c>
      <c r="K12" s="38">
        <f t="shared" si="7"/>
        <v>6.2681975781145507E-3</v>
      </c>
      <c r="L12" s="28">
        <f t="shared" si="8"/>
        <v>336</v>
      </c>
      <c r="M12" s="11">
        <f t="shared" si="4"/>
        <v>5.7514549811708317E-2</v>
      </c>
      <c r="N12" s="96">
        <f>L12-'24년 6월'!L12</f>
        <v>0</v>
      </c>
      <c r="O12" s="73">
        <v>280</v>
      </c>
      <c r="P12" s="73">
        <v>56</v>
      </c>
      <c r="Q12" s="35">
        <v>3065</v>
      </c>
      <c r="R12" s="33">
        <f>Q12-'24년 6월'!Q12</f>
        <v>-9</v>
      </c>
      <c r="S12" s="73">
        <v>1.77</v>
      </c>
      <c r="T12" s="116"/>
      <c r="U12" s="48"/>
      <c r="V12" s="28">
        <v>5701</v>
      </c>
      <c r="W12" s="35">
        <v>3187</v>
      </c>
    </row>
    <row r="13" spans="1:24">
      <c r="A13" s="39"/>
      <c r="B13" s="115" t="s">
        <v>5</v>
      </c>
      <c r="C13" s="10">
        <f t="shared" si="2"/>
        <v>8581</v>
      </c>
      <c r="D13" s="20">
        <f t="shared" si="3"/>
        <v>2.1744418822694678E-2</v>
      </c>
      <c r="E13" s="28">
        <v>8306</v>
      </c>
      <c r="F13" s="38">
        <f t="shared" si="5"/>
        <v>2.136382810169038E-2</v>
      </c>
      <c r="G13" s="33">
        <f>E13-'24년 6월'!E13</f>
        <v>-22</v>
      </c>
      <c r="H13" s="51">
        <v>4441</v>
      </c>
      <c r="I13" s="38">
        <f t="shared" si="6"/>
        <v>1.1422677654660124E-2</v>
      </c>
      <c r="J13" s="51">
        <v>3865</v>
      </c>
      <c r="K13" s="38">
        <f t="shared" si="7"/>
        <v>9.9411504470302576E-3</v>
      </c>
      <c r="L13" s="28">
        <f t="shared" si="8"/>
        <v>275</v>
      </c>
      <c r="M13" s="11">
        <f t="shared" si="4"/>
        <v>4.7072920232796987E-2</v>
      </c>
      <c r="N13" s="96">
        <f>L13-'24년 6월'!L13</f>
        <v>-6</v>
      </c>
      <c r="O13" s="73">
        <v>180</v>
      </c>
      <c r="P13" s="73">
        <v>95</v>
      </c>
      <c r="Q13" s="35">
        <v>4729</v>
      </c>
      <c r="R13" s="33">
        <f>Q13-'24년 6월'!Q13</f>
        <v>-6</v>
      </c>
      <c r="S13" s="73">
        <v>1.76</v>
      </c>
      <c r="T13" s="116"/>
      <c r="U13" s="48"/>
      <c r="V13" s="28">
        <v>8518</v>
      </c>
      <c r="W13" s="35">
        <v>4795</v>
      </c>
    </row>
    <row r="14" spans="1:24">
      <c r="A14" s="39"/>
      <c r="B14" s="115" t="s">
        <v>6</v>
      </c>
      <c r="C14" s="10">
        <f t="shared" si="2"/>
        <v>7032</v>
      </c>
      <c r="D14" s="20">
        <f t="shared" si="3"/>
        <v>1.7819223069710868E-2</v>
      </c>
      <c r="E14" s="28">
        <v>6573</v>
      </c>
      <c r="F14" s="38">
        <f t="shared" si="5"/>
        <v>1.6906385999567886E-2</v>
      </c>
      <c r="G14" s="33">
        <f>E14-'24년 6월'!E14</f>
        <v>34</v>
      </c>
      <c r="H14" s="51">
        <v>3860</v>
      </c>
      <c r="I14" s="38">
        <f t="shared" si="6"/>
        <v>9.9282899677973595E-3</v>
      </c>
      <c r="J14" s="51">
        <v>2713</v>
      </c>
      <c r="K14" s="38">
        <f t="shared" si="7"/>
        <v>6.9780960317705277E-3</v>
      </c>
      <c r="L14" s="28">
        <f t="shared" si="8"/>
        <v>459</v>
      </c>
      <c r="M14" s="11">
        <f t="shared" si="4"/>
        <v>7.8568983224922978E-2</v>
      </c>
      <c r="N14" s="96">
        <f>L14-'24년 6월'!L14</f>
        <v>-8</v>
      </c>
      <c r="O14" s="73">
        <v>328</v>
      </c>
      <c r="P14" s="73">
        <v>131</v>
      </c>
      <c r="Q14" s="35">
        <v>4110</v>
      </c>
      <c r="R14" s="33">
        <f>Q14-'24년 6월'!Q14</f>
        <v>23</v>
      </c>
      <c r="S14" s="90">
        <v>1.6</v>
      </c>
      <c r="T14" s="116"/>
      <c r="U14" s="48"/>
      <c r="V14" s="28">
        <v>6785</v>
      </c>
      <c r="W14" s="35">
        <v>4218</v>
      </c>
    </row>
    <row r="15" spans="1:24">
      <c r="A15" s="39"/>
      <c r="B15" s="115" t="s">
        <v>7</v>
      </c>
      <c r="C15" s="10">
        <f t="shared" si="2"/>
        <v>7045</v>
      </c>
      <c r="D15" s="20">
        <f t="shared" si="3"/>
        <v>1.7852165319413121E-2</v>
      </c>
      <c r="E15" s="28">
        <v>6792</v>
      </c>
      <c r="F15" s="38">
        <f t="shared" si="5"/>
        <v>1.7469674989968827E-2</v>
      </c>
      <c r="G15" s="33">
        <f>E15-'24년 6월'!E15</f>
        <v>-34</v>
      </c>
      <c r="H15" s="51">
        <v>3714</v>
      </c>
      <c r="I15" s="38">
        <f t="shared" si="6"/>
        <v>9.5527639741967343E-3</v>
      </c>
      <c r="J15" s="51">
        <v>3078</v>
      </c>
      <c r="K15" s="38">
        <f t="shared" si="7"/>
        <v>7.9169110157720924E-3</v>
      </c>
      <c r="L15" s="28">
        <f t="shared" si="8"/>
        <v>253</v>
      </c>
      <c r="M15" s="11">
        <f t="shared" si="4"/>
        <v>4.3307086614173228E-2</v>
      </c>
      <c r="N15" s="96">
        <f>L15-'24년 6월'!L15</f>
        <v>12</v>
      </c>
      <c r="O15" s="73">
        <v>188</v>
      </c>
      <c r="P15" s="73">
        <v>65</v>
      </c>
      <c r="Q15" s="35">
        <v>3709</v>
      </c>
      <c r="R15" s="33">
        <f>Q15-'24년 6월'!Q15</f>
        <v>0</v>
      </c>
      <c r="S15" s="73">
        <v>1.83</v>
      </c>
      <c r="T15" s="116"/>
      <c r="U15" s="48"/>
      <c r="V15" s="28">
        <v>7041</v>
      </c>
      <c r="W15" s="35">
        <v>3821</v>
      </c>
    </row>
    <row r="16" spans="1:24">
      <c r="A16" s="39"/>
      <c r="B16" s="115" t="s">
        <v>8</v>
      </c>
      <c r="C16" s="10">
        <f t="shared" si="2"/>
        <v>5694</v>
      </c>
      <c r="D16" s="20">
        <f t="shared" si="3"/>
        <v>1.4428705369586702E-2</v>
      </c>
      <c r="E16" s="28">
        <v>5156</v>
      </c>
      <c r="F16" s="38">
        <f t="shared" si="5"/>
        <v>1.3261726184964557E-2</v>
      </c>
      <c r="G16" s="33">
        <f>E16-'24년 6월'!E16</f>
        <v>-25</v>
      </c>
      <c r="H16" s="51">
        <v>2736</v>
      </c>
      <c r="I16" s="38">
        <f t="shared" si="6"/>
        <v>7.0372542362418591E-3</v>
      </c>
      <c r="J16" s="51">
        <v>2420</v>
      </c>
      <c r="K16" s="38">
        <f t="shared" si="7"/>
        <v>6.2244719487226973E-3</v>
      </c>
      <c r="L16" s="28">
        <f t="shared" si="8"/>
        <v>538</v>
      </c>
      <c r="M16" s="11">
        <f t="shared" si="4"/>
        <v>9.2091749400890099E-2</v>
      </c>
      <c r="N16" s="96">
        <f>L16-'24년 6월'!L16</f>
        <v>-2</v>
      </c>
      <c r="O16" s="73">
        <v>449</v>
      </c>
      <c r="P16" s="73">
        <v>89</v>
      </c>
      <c r="Q16" s="35">
        <v>2916</v>
      </c>
      <c r="R16" s="33">
        <f>Q16-'24년 6월'!Q16</f>
        <v>-14</v>
      </c>
      <c r="S16" s="73">
        <v>1.77</v>
      </c>
      <c r="T16" s="116"/>
      <c r="U16" s="48"/>
      <c r="V16" s="28">
        <v>5397</v>
      </c>
      <c r="W16" s="35">
        <v>3039</v>
      </c>
    </row>
    <row r="17" spans="1:23">
      <c r="A17" s="39"/>
      <c r="B17" s="115" t="s">
        <v>9</v>
      </c>
      <c r="C17" s="10">
        <f t="shared" si="2"/>
        <v>3421</v>
      </c>
      <c r="D17" s="20">
        <f t="shared" si="3"/>
        <v>8.6688797101082023E-3</v>
      </c>
      <c r="E17" s="28">
        <v>3116</v>
      </c>
      <c r="F17" s="38">
        <f t="shared" si="5"/>
        <v>8.0146506579421174E-3</v>
      </c>
      <c r="G17" s="33">
        <f>E17-'24년 6월'!E17</f>
        <v>9</v>
      </c>
      <c r="H17" s="51">
        <v>1662</v>
      </c>
      <c r="I17" s="38">
        <f t="shared" si="6"/>
        <v>4.2748232970153399E-3</v>
      </c>
      <c r="J17" s="51">
        <v>1454</v>
      </c>
      <c r="K17" s="38">
        <f t="shared" si="7"/>
        <v>3.7398273609267774E-3</v>
      </c>
      <c r="L17" s="28">
        <f t="shared" si="8"/>
        <v>305</v>
      </c>
      <c r="M17" s="11">
        <f t="shared" si="4"/>
        <v>5.2208147894556661E-2</v>
      </c>
      <c r="N17" s="96">
        <f>L17-'24년 6월'!L17</f>
        <v>9</v>
      </c>
      <c r="O17" s="73">
        <v>261</v>
      </c>
      <c r="P17" s="73">
        <v>44</v>
      </c>
      <c r="Q17" s="35">
        <v>1842</v>
      </c>
      <c r="R17" s="33">
        <f>Q17-'24년 6월'!Q17</f>
        <v>6</v>
      </c>
      <c r="S17" s="73">
        <v>1.69</v>
      </c>
      <c r="T17" s="116"/>
      <c r="U17" s="48"/>
      <c r="V17" s="28">
        <v>3214</v>
      </c>
      <c r="W17" s="35">
        <v>1896</v>
      </c>
    </row>
    <row r="18" spans="1:23">
      <c r="A18" s="39"/>
      <c r="B18" s="115" t="s">
        <v>10</v>
      </c>
      <c r="C18" s="10">
        <f t="shared" si="2"/>
        <v>2356</v>
      </c>
      <c r="D18" s="20">
        <f t="shared" si="3"/>
        <v>5.9701492537313433E-3</v>
      </c>
      <c r="E18" s="28">
        <v>2079</v>
      </c>
      <c r="F18" s="38">
        <f t="shared" si="5"/>
        <v>5.347387265039044E-3</v>
      </c>
      <c r="G18" s="33">
        <f>E18-'24년 6월'!E18</f>
        <v>-12</v>
      </c>
      <c r="H18" s="51">
        <v>1112</v>
      </c>
      <c r="I18" s="38">
        <f t="shared" si="6"/>
        <v>2.860170581396545E-3</v>
      </c>
      <c r="J18" s="51">
        <v>967</v>
      </c>
      <c r="K18" s="38">
        <f t="shared" si="7"/>
        <v>2.4872166836424994E-3</v>
      </c>
      <c r="L18" s="28">
        <f t="shared" si="8"/>
        <v>277</v>
      </c>
      <c r="M18" s="11">
        <f t="shared" si="4"/>
        <v>4.7415268743580964E-2</v>
      </c>
      <c r="N18" s="96">
        <f>L18-'24년 6월'!L18</f>
        <v>-3</v>
      </c>
      <c r="O18" s="73">
        <v>245</v>
      </c>
      <c r="P18" s="73">
        <v>32</v>
      </c>
      <c r="Q18" s="35">
        <v>1111</v>
      </c>
      <c r="R18" s="33">
        <f>Q18-'24년 6월'!Q18</f>
        <v>-4</v>
      </c>
      <c r="S18" s="73">
        <v>1.87</v>
      </c>
      <c r="T18" s="116"/>
      <c r="U18" s="48"/>
      <c r="V18" s="28">
        <v>2187</v>
      </c>
      <c r="W18" s="35">
        <v>1146</v>
      </c>
    </row>
    <row r="19" spans="1:23">
      <c r="A19" s="39"/>
      <c r="B19" s="115" t="s">
        <v>27</v>
      </c>
      <c r="C19" s="10">
        <f t="shared" si="2"/>
        <v>18143</v>
      </c>
      <c r="D19" s="20">
        <f t="shared" si="3"/>
        <v>4.5974710488305502E-2</v>
      </c>
      <c r="E19" s="28">
        <v>18087</v>
      </c>
      <c r="F19" s="38">
        <f t="shared" si="5"/>
        <v>4.6521497577085714E-2</v>
      </c>
      <c r="G19" s="33">
        <f>E19-'24년 6월'!E19</f>
        <v>-16</v>
      </c>
      <c r="H19" s="51">
        <v>8922</v>
      </c>
      <c r="I19" s="38">
        <f t="shared" si="6"/>
        <v>2.2948239143183433E-2</v>
      </c>
      <c r="J19" s="51">
        <v>9165</v>
      </c>
      <c r="K19" s="38">
        <f t="shared" si="7"/>
        <v>2.3573258433902282E-2</v>
      </c>
      <c r="L19" s="28">
        <f t="shared" si="8"/>
        <v>56</v>
      </c>
      <c r="M19" s="11">
        <f t="shared" si="4"/>
        <v>9.5857583019513873E-3</v>
      </c>
      <c r="N19" s="96">
        <f>L19-'24년 6월'!L19</f>
        <v>-3</v>
      </c>
      <c r="O19" s="73">
        <v>22</v>
      </c>
      <c r="P19" s="73">
        <v>34</v>
      </c>
      <c r="Q19" s="35">
        <v>6324</v>
      </c>
      <c r="R19" s="33">
        <f>Q19-'24년 6월'!Q19</f>
        <v>-9</v>
      </c>
      <c r="S19" s="73">
        <v>2.86</v>
      </c>
      <c r="T19" s="117"/>
      <c r="U19" s="48"/>
      <c r="V19" s="28">
        <v>18422</v>
      </c>
      <c r="W19" s="35">
        <v>6404</v>
      </c>
    </row>
    <row r="20" spans="1:23">
      <c r="A20" s="39"/>
      <c r="B20" s="115" t="s">
        <v>34</v>
      </c>
      <c r="C20" s="10">
        <f t="shared" si="2"/>
        <v>26479</v>
      </c>
      <c r="D20" s="20">
        <f t="shared" si="3"/>
        <v>6.7098294605073106E-2</v>
      </c>
      <c r="E20" s="28">
        <v>26412</v>
      </c>
      <c r="F20" s="38">
        <f t="shared" si="5"/>
        <v>6.7934195499861114E-2</v>
      </c>
      <c r="G20" s="33">
        <f>E20-'24년 6월'!E20</f>
        <v>-58</v>
      </c>
      <c r="H20" s="51">
        <v>12760</v>
      </c>
      <c r="I20" s="38">
        <f t="shared" si="6"/>
        <v>3.2819943002356043E-2</v>
      </c>
      <c r="J20" s="51">
        <v>13652</v>
      </c>
      <c r="K20" s="38">
        <f t="shared" si="7"/>
        <v>3.511425249750507E-2</v>
      </c>
      <c r="L20" s="28">
        <f t="shared" si="8"/>
        <v>67</v>
      </c>
      <c r="M20" s="11">
        <f t="shared" si="4"/>
        <v>1.1468675111263265E-2</v>
      </c>
      <c r="N20" s="96">
        <f>L20-'24년 6월'!L20</f>
        <v>-2</v>
      </c>
      <c r="O20" s="73">
        <v>21</v>
      </c>
      <c r="P20" s="73">
        <v>46</v>
      </c>
      <c r="Q20" s="35">
        <v>9670</v>
      </c>
      <c r="R20" s="33">
        <f>Q20-'24년 6월'!Q20</f>
        <v>-18</v>
      </c>
      <c r="S20" s="73">
        <v>2.73</v>
      </c>
      <c r="T20" s="117"/>
      <c r="U20" s="48"/>
      <c r="V20" s="28">
        <v>26600</v>
      </c>
      <c r="W20" s="35">
        <v>9752</v>
      </c>
    </row>
    <row r="21" spans="1:23">
      <c r="A21" s="39"/>
      <c r="B21" s="118" t="s">
        <v>65</v>
      </c>
      <c r="C21" s="10">
        <f t="shared" si="2"/>
        <v>13176</v>
      </c>
      <c r="D21" s="20">
        <f t="shared" si="3"/>
        <v>3.3388237082837086E-2</v>
      </c>
      <c r="E21" s="29">
        <v>13030</v>
      </c>
      <c r="F21" s="38">
        <f t="shared" si="5"/>
        <v>3.3514408880932538E-2</v>
      </c>
      <c r="G21" s="33">
        <f>E21-'24년 6월'!E21</f>
        <v>-48</v>
      </c>
      <c r="H21" s="51">
        <v>6377</v>
      </c>
      <c r="I21" s="38">
        <f t="shared" si="6"/>
        <v>1.6402255213638282E-2</v>
      </c>
      <c r="J21" s="51">
        <v>6653</v>
      </c>
      <c r="K21" s="38">
        <f t="shared" si="7"/>
        <v>1.711215366729426E-2</v>
      </c>
      <c r="L21" s="28">
        <f t="shared" si="8"/>
        <v>146</v>
      </c>
      <c r="M21" s="11">
        <f t="shared" si="4"/>
        <v>2.4991441287230399E-2</v>
      </c>
      <c r="N21" s="96">
        <f>L21-'24년 6월'!L21</f>
        <v>4</v>
      </c>
      <c r="O21" s="73">
        <v>67</v>
      </c>
      <c r="P21" s="73">
        <v>79</v>
      </c>
      <c r="Q21" s="36">
        <v>5920</v>
      </c>
      <c r="R21" s="33">
        <f>Q21-'24년 6월'!Q21</f>
        <v>-20</v>
      </c>
      <c r="S21" s="74">
        <v>2.2000000000000002</v>
      </c>
      <c r="T21" s="119"/>
      <c r="U21" s="48"/>
      <c r="V21" s="29">
        <v>13375</v>
      </c>
      <c r="W21" s="36">
        <v>6073</v>
      </c>
    </row>
    <row r="22" spans="1:23">
      <c r="A22" s="39"/>
      <c r="B22" s="118" t="s">
        <v>41</v>
      </c>
      <c r="C22" s="10">
        <f t="shared" si="2"/>
        <v>24976</v>
      </c>
      <c r="D22" s="20">
        <f t="shared" si="3"/>
        <v>6.3289663735651119E-2</v>
      </c>
      <c r="E22" s="29">
        <v>24822</v>
      </c>
      <c r="F22" s="38">
        <f t="shared" si="5"/>
        <v>6.3844563103799504E-2</v>
      </c>
      <c r="G22" s="33">
        <f>E22-'24년 6월'!E22</f>
        <v>-38</v>
      </c>
      <c r="H22" s="51">
        <v>11961</v>
      </c>
      <c r="I22" s="38">
        <f t="shared" si="6"/>
        <v>3.0764838420938918E-2</v>
      </c>
      <c r="J22" s="51">
        <v>12861</v>
      </c>
      <c r="K22" s="38">
        <f t="shared" si="7"/>
        <v>3.3079724682860585E-2</v>
      </c>
      <c r="L22" s="28">
        <f t="shared" si="8"/>
        <v>154</v>
      </c>
      <c r="M22" s="11">
        <f t="shared" si="4"/>
        <v>2.6360835330366313E-2</v>
      </c>
      <c r="N22" s="96">
        <f>L22-'24년 6월'!L22</f>
        <v>1</v>
      </c>
      <c r="O22" s="73">
        <v>59</v>
      </c>
      <c r="P22" s="73">
        <v>95</v>
      </c>
      <c r="Q22" s="36">
        <v>10189</v>
      </c>
      <c r="R22" s="33">
        <f>Q22-'24년 6월'!Q22</f>
        <v>11</v>
      </c>
      <c r="S22" s="74">
        <v>2.44</v>
      </c>
      <c r="T22" s="119"/>
      <c r="U22" s="48"/>
      <c r="V22" s="29">
        <v>25473</v>
      </c>
      <c r="W22" s="36">
        <v>10280</v>
      </c>
    </row>
    <row r="23" spans="1:23">
      <c r="A23" s="39"/>
      <c r="B23" s="118" t="s">
        <v>42</v>
      </c>
      <c r="C23" s="10">
        <f t="shared" si="2"/>
        <v>11278</v>
      </c>
      <c r="D23" s="20">
        <f t="shared" si="3"/>
        <v>2.8578668626308187E-2</v>
      </c>
      <c r="E23" s="29">
        <v>11215</v>
      </c>
      <c r="F23" s="38">
        <f t="shared" si="5"/>
        <v>2.8846054919390515E-2</v>
      </c>
      <c r="G23" s="33">
        <f>E23-'24년 6월'!E23</f>
        <v>-7</v>
      </c>
      <c r="H23" s="51">
        <v>5536</v>
      </c>
      <c r="I23" s="38">
        <f t="shared" si="6"/>
        <v>1.4239122606664815E-2</v>
      </c>
      <c r="J23" s="51">
        <v>5679</v>
      </c>
      <c r="K23" s="38">
        <f t="shared" si="7"/>
        <v>1.4606932312725701E-2</v>
      </c>
      <c r="L23" s="28">
        <f t="shared" si="8"/>
        <v>63</v>
      </c>
      <c r="M23" s="11">
        <f t="shared" si="4"/>
        <v>1.078397808969531E-2</v>
      </c>
      <c r="N23" s="96">
        <f>L23-'24년 6월'!L23</f>
        <v>-3</v>
      </c>
      <c r="O23" s="73">
        <v>28</v>
      </c>
      <c r="P23" s="73">
        <v>35</v>
      </c>
      <c r="Q23" s="36">
        <v>5297</v>
      </c>
      <c r="R23" s="33">
        <f>Q23-'24년 6월'!Q23</f>
        <v>-9</v>
      </c>
      <c r="S23" s="74">
        <v>2.12</v>
      </c>
      <c r="T23" s="119"/>
      <c r="U23" s="48"/>
      <c r="V23" s="29">
        <v>11235</v>
      </c>
      <c r="W23" s="36">
        <v>5323</v>
      </c>
    </row>
    <row r="24" spans="1:23">
      <c r="A24" s="39"/>
      <c r="B24" s="115" t="s">
        <v>35</v>
      </c>
      <c r="C24" s="10">
        <f t="shared" si="2"/>
        <v>16612</v>
      </c>
      <c r="D24" s="20">
        <f t="shared" si="3"/>
        <v>4.2095127081063277E-2</v>
      </c>
      <c r="E24" s="28">
        <v>16513</v>
      </c>
      <c r="F24" s="38">
        <f t="shared" si="5"/>
        <v>4.2473018714569377E-2</v>
      </c>
      <c r="G24" s="33">
        <f>E24-'24년 6월'!E24</f>
        <v>1315</v>
      </c>
      <c r="H24" s="51">
        <v>8007</v>
      </c>
      <c r="I24" s="38">
        <f t="shared" si="6"/>
        <v>2.0594771443563073E-2</v>
      </c>
      <c r="J24" s="51">
        <v>8506</v>
      </c>
      <c r="K24" s="38">
        <f t="shared" si="7"/>
        <v>2.1878247271006308E-2</v>
      </c>
      <c r="L24" s="28">
        <f t="shared" si="8"/>
        <v>99</v>
      </c>
      <c r="M24" s="11">
        <f t="shared" si="4"/>
        <v>1.6946251283806914E-2</v>
      </c>
      <c r="N24" s="96">
        <f>L24-'24년 6월'!L24</f>
        <v>5</v>
      </c>
      <c r="O24" s="73">
        <v>59</v>
      </c>
      <c r="P24" s="73">
        <v>40</v>
      </c>
      <c r="Q24" s="35">
        <v>6281</v>
      </c>
      <c r="R24" s="33">
        <f>Q24-'24년 6월'!Q24</f>
        <v>478</v>
      </c>
      <c r="S24" s="73">
        <v>2.63</v>
      </c>
      <c r="T24" s="117"/>
      <c r="U24" s="48"/>
      <c r="V24" s="28">
        <v>8925</v>
      </c>
      <c r="W24" s="35">
        <v>3139</v>
      </c>
    </row>
    <row r="25" spans="1:23">
      <c r="A25" s="39"/>
      <c r="B25" s="120" t="s">
        <v>28</v>
      </c>
      <c r="C25" s="10">
        <f t="shared" si="2"/>
        <v>23383</v>
      </c>
      <c r="D25" s="20">
        <f t="shared" si="3"/>
        <v>5.9252971137521225E-2</v>
      </c>
      <c r="E25" s="30">
        <v>23320</v>
      </c>
      <c r="F25" s="38">
        <f t="shared" si="5"/>
        <v>5.9981275142236903E-2</v>
      </c>
      <c r="G25" s="33">
        <f>E25-'24년 6월'!E25</f>
        <v>-35</v>
      </c>
      <c r="H25" s="51">
        <v>11533</v>
      </c>
      <c r="I25" s="38">
        <f t="shared" si="6"/>
        <v>2.9663981398602837E-2</v>
      </c>
      <c r="J25" s="51">
        <v>11787</v>
      </c>
      <c r="K25" s="38">
        <f t="shared" si="7"/>
        <v>3.0317293743634063E-2</v>
      </c>
      <c r="L25" s="28">
        <f t="shared" si="8"/>
        <v>63</v>
      </c>
      <c r="M25" s="11">
        <f t="shared" si="4"/>
        <v>1.078397808969531E-2</v>
      </c>
      <c r="N25" s="96">
        <f>L25-'24년 6월'!L25</f>
        <v>0</v>
      </c>
      <c r="O25" s="73">
        <v>24</v>
      </c>
      <c r="P25" s="73">
        <v>39</v>
      </c>
      <c r="Q25" s="37">
        <v>7923</v>
      </c>
      <c r="R25" s="33">
        <f>Q25-'24년 6월'!Q25</f>
        <v>-1</v>
      </c>
      <c r="S25" s="75">
        <v>2.94</v>
      </c>
      <c r="T25" s="121"/>
      <c r="U25" s="48"/>
      <c r="V25" s="30">
        <v>23623</v>
      </c>
      <c r="W25" s="37">
        <v>7957</v>
      </c>
    </row>
    <row r="26" spans="1:23">
      <c r="A26" s="76"/>
      <c r="B26" s="115" t="s">
        <v>29</v>
      </c>
      <c r="C26" s="10">
        <f t="shared" si="2"/>
        <v>27879</v>
      </c>
      <c r="D26" s="20">
        <f t="shared" si="3"/>
        <v>7.0645921496084937E-2</v>
      </c>
      <c r="E26" s="28">
        <v>27759</v>
      </c>
      <c r="F26" s="38">
        <f t="shared" si="5"/>
        <v>7.1398808605203867E-2</v>
      </c>
      <c r="G26" s="33">
        <f>E26-'24년 6월'!E26</f>
        <v>-69</v>
      </c>
      <c r="H26" s="51">
        <v>13520</v>
      </c>
      <c r="I26" s="38">
        <f t="shared" si="6"/>
        <v>3.4774735845756556E-2</v>
      </c>
      <c r="J26" s="51">
        <v>14239</v>
      </c>
      <c r="K26" s="38">
        <f t="shared" si="7"/>
        <v>3.6624072759447311E-2</v>
      </c>
      <c r="L26" s="28">
        <f t="shared" si="8"/>
        <v>120</v>
      </c>
      <c r="M26" s="11">
        <f t="shared" si="4"/>
        <v>2.0540910647038686E-2</v>
      </c>
      <c r="N26" s="96">
        <f>L26-'24년 6월'!L26</f>
        <v>-1</v>
      </c>
      <c r="O26" s="73">
        <v>34</v>
      </c>
      <c r="P26" s="73">
        <v>86</v>
      </c>
      <c r="Q26" s="35">
        <v>10719</v>
      </c>
      <c r="R26" s="33">
        <f>Q26-'24년 6월'!Q26</f>
        <v>-19</v>
      </c>
      <c r="S26" s="90">
        <v>2.59</v>
      </c>
      <c r="T26" s="122"/>
      <c r="U26" s="48"/>
      <c r="V26" s="28">
        <v>28470</v>
      </c>
      <c r="W26" s="35">
        <v>10826</v>
      </c>
    </row>
    <row r="27" spans="1:23">
      <c r="A27" s="77"/>
      <c r="B27" s="115" t="s">
        <v>30</v>
      </c>
      <c r="C27" s="10">
        <f t="shared" si="2"/>
        <v>35964</v>
      </c>
      <c r="D27" s="20">
        <f t="shared" si="3"/>
        <v>9.1133466791678275E-2</v>
      </c>
      <c r="E27" s="28">
        <v>35841</v>
      </c>
      <c r="F27" s="38">
        <f t="shared" si="5"/>
        <v>9.2186487237260403E-2</v>
      </c>
      <c r="G27" s="33">
        <f>E27-'24년 6월'!E27</f>
        <v>0</v>
      </c>
      <c r="H27" s="51">
        <v>17579</v>
      </c>
      <c r="I27" s="38">
        <f t="shared" si="6"/>
        <v>4.5214872887023264E-2</v>
      </c>
      <c r="J27" s="51">
        <v>18262</v>
      </c>
      <c r="K27" s="38">
        <f t="shared" si="7"/>
        <v>4.6971614350237147E-2</v>
      </c>
      <c r="L27" s="28">
        <f t="shared" si="8"/>
        <v>123</v>
      </c>
      <c r="M27" s="11">
        <f t="shared" si="4"/>
        <v>2.1054433413214651E-2</v>
      </c>
      <c r="N27" s="96">
        <f>L27-'24년 6월'!L27</f>
        <v>-2</v>
      </c>
      <c r="O27" s="73">
        <v>38</v>
      </c>
      <c r="P27" s="73">
        <v>85</v>
      </c>
      <c r="Q27" s="35">
        <v>12778</v>
      </c>
      <c r="R27" s="33">
        <f>Q27-'24년 6월'!Q27</f>
        <v>3</v>
      </c>
      <c r="S27" s="73">
        <v>2.8</v>
      </c>
      <c r="T27" s="123"/>
      <c r="U27" s="48"/>
      <c r="V27" s="28">
        <v>35257</v>
      </c>
      <c r="W27" s="35">
        <v>12436</v>
      </c>
    </row>
    <row r="28" spans="1:23">
      <c r="A28" s="77"/>
      <c r="B28" s="115" t="s">
        <v>31</v>
      </c>
      <c r="C28" s="10">
        <f t="shared" si="2"/>
        <v>21772</v>
      </c>
      <c r="D28" s="20">
        <f t="shared" si="3"/>
        <v>5.5170666193649749E-2</v>
      </c>
      <c r="E28" s="28">
        <v>21667</v>
      </c>
      <c r="F28" s="38">
        <f t="shared" si="5"/>
        <v>5.5729600707840776E-2</v>
      </c>
      <c r="G28" s="33">
        <f>E28-'24년 6월'!E28</f>
        <v>-36</v>
      </c>
      <c r="H28" s="51">
        <v>10555</v>
      </c>
      <c r="I28" s="38">
        <f t="shared" si="6"/>
        <v>2.7148471660647964E-2</v>
      </c>
      <c r="J28" s="51">
        <v>11112</v>
      </c>
      <c r="K28" s="38">
        <f t="shared" si="7"/>
        <v>2.8581129047192816E-2</v>
      </c>
      <c r="L28" s="28">
        <f t="shared" si="8"/>
        <v>105</v>
      </c>
      <c r="M28" s="11">
        <f t="shared" si="4"/>
        <v>1.7973296816158849E-2</v>
      </c>
      <c r="N28" s="96">
        <f>L28-'24년 6월'!L28</f>
        <v>-2</v>
      </c>
      <c r="O28" s="73">
        <v>34</v>
      </c>
      <c r="P28" s="73">
        <v>71</v>
      </c>
      <c r="Q28" s="35">
        <v>8386</v>
      </c>
      <c r="R28" s="33">
        <f>Q28-'24년 6월'!Q28</f>
        <v>5</v>
      </c>
      <c r="S28" s="73">
        <v>2.58</v>
      </c>
      <c r="T28" s="123"/>
      <c r="U28" s="48"/>
      <c r="V28" s="28">
        <v>21830</v>
      </c>
      <c r="W28" s="35">
        <v>8390</v>
      </c>
    </row>
    <row r="29" spans="1:23">
      <c r="A29" s="77"/>
      <c r="B29" s="115" t="s">
        <v>36</v>
      </c>
      <c r="C29" s="10">
        <f t="shared" si="2"/>
        <v>28923</v>
      </c>
      <c r="D29" s="20">
        <f>C29/$C$8</f>
        <v>7.3291437549096616E-2</v>
      </c>
      <c r="E29" s="28">
        <v>28646</v>
      </c>
      <c r="F29" s="38">
        <f t="shared" si="5"/>
        <v>7.3680257621119988E-2</v>
      </c>
      <c r="G29" s="33">
        <f>E29-'24년 6월'!E29</f>
        <v>81</v>
      </c>
      <c r="H29" s="51">
        <v>14057</v>
      </c>
      <c r="I29" s="38">
        <f t="shared" si="6"/>
        <v>3.6155951315369819E-2</v>
      </c>
      <c r="J29" s="51">
        <v>14589</v>
      </c>
      <c r="K29" s="38">
        <f t="shared" si="7"/>
        <v>3.7524306305750176E-2</v>
      </c>
      <c r="L29" s="28">
        <f t="shared" si="8"/>
        <v>277</v>
      </c>
      <c r="M29" s="11">
        <f t="shared" si="4"/>
        <v>4.7415268743580964E-2</v>
      </c>
      <c r="N29" s="96">
        <f>L29-'24년 6월'!L29</f>
        <v>-2</v>
      </c>
      <c r="O29" s="73">
        <v>120</v>
      </c>
      <c r="P29" s="73">
        <v>157</v>
      </c>
      <c r="Q29" s="35">
        <v>12080</v>
      </c>
      <c r="R29" s="33">
        <f>Q29-'24년 6월'!Q29</f>
        <v>38</v>
      </c>
      <c r="S29" s="73">
        <v>2.37</v>
      </c>
      <c r="T29" s="123"/>
      <c r="U29" s="48"/>
      <c r="V29" s="28">
        <v>28108</v>
      </c>
      <c r="W29" s="35">
        <v>11868</v>
      </c>
    </row>
    <row r="30" spans="1:23">
      <c r="A30" s="77"/>
      <c r="B30" s="115" t="s">
        <v>32</v>
      </c>
      <c r="C30" s="10">
        <f t="shared" si="2"/>
        <v>18924</v>
      </c>
      <c r="D30" s="20">
        <f t="shared" si="3"/>
        <v>4.7953779489648532E-2</v>
      </c>
      <c r="E30" s="28">
        <v>18860</v>
      </c>
      <c r="F30" s="38">
        <f t="shared" si="5"/>
        <v>4.8509727666491767E-2</v>
      </c>
      <c r="G30" s="33">
        <f>E30-'24년 6월'!E30</f>
        <v>-16</v>
      </c>
      <c r="H30" s="51">
        <v>9259</v>
      </c>
      <c r="I30" s="38">
        <f t="shared" si="6"/>
        <v>2.3815035443480764E-2</v>
      </c>
      <c r="J30" s="51">
        <v>9601</v>
      </c>
      <c r="K30" s="38">
        <f t="shared" si="7"/>
        <v>2.4694692223010999E-2</v>
      </c>
      <c r="L30" s="28">
        <f t="shared" si="8"/>
        <v>64</v>
      </c>
      <c r="M30" s="11">
        <f t="shared" si="4"/>
        <v>1.0955152345087298E-2</v>
      </c>
      <c r="N30" s="96">
        <f>L30-'24년 6월'!L30</f>
        <v>-1</v>
      </c>
      <c r="O30" s="73">
        <v>21</v>
      </c>
      <c r="P30" s="73">
        <v>43</v>
      </c>
      <c r="Q30" s="35">
        <v>6934</v>
      </c>
      <c r="R30" s="33">
        <f>Q30-'24년 6월'!Q30</f>
        <v>-10</v>
      </c>
      <c r="S30" s="73">
        <v>2.72</v>
      </c>
      <c r="T30" s="123"/>
      <c r="U30" s="48"/>
      <c r="V30" s="28">
        <v>18980</v>
      </c>
      <c r="W30" s="35">
        <v>6924</v>
      </c>
    </row>
    <row r="31" spans="1:23">
      <c r="A31" s="77"/>
      <c r="B31" s="124" t="s">
        <v>45</v>
      </c>
      <c r="C31" s="10">
        <f t="shared" si="2"/>
        <v>11293</v>
      </c>
      <c r="D31" s="20">
        <f t="shared" si="3"/>
        <v>2.861667891442617E-2</v>
      </c>
      <c r="E31" s="28">
        <v>11254</v>
      </c>
      <c r="F31" s="38">
        <f t="shared" si="5"/>
        <v>2.8946366657407123E-2</v>
      </c>
      <c r="G31" s="33">
        <f>E31-'24년 6월'!E31</f>
        <v>-37</v>
      </c>
      <c r="H31" s="51">
        <v>5549</v>
      </c>
      <c r="I31" s="38">
        <f t="shared" si="6"/>
        <v>1.427255985267035E-2</v>
      </c>
      <c r="J31" s="51">
        <v>5705</v>
      </c>
      <c r="K31" s="38">
        <f t="shared" si="7"/>
        <v>1.4673806804736771E-2</v>
      </c>
      <c r="L31" s="28">
        <f t="shared" si="8"/>
        <v>39</v>
      </c>
      <c r="M31" s="11">
        <f t="shared" si="4"/>
        <v>6.6757959602875725E-3</v>
      </c>
      <c r="N31" s="96">
        <f>L31-'24년 6월'!L31</f>
        <v>0</v>
      </c>
      <c r="O31" s="73">
        <v>12</v>
      </c>
      <c r="P31" s="73">
        <v>27</v>
      </c>
      <c r="Q31" s="35">
        <v>4393</v>
      </c>
      <c r="R31" s="33">
        <f>Q31-'24년 6월'!Q31</f>
        <v>-10</v>
      </c>
      <c r="S31" s="73">
        <v>2.56</v>
      </c>
      <c r="T31" s="122"/>
      <c r="U31" s="48"/>
      <c r="V31" s="28">
        <v>11256</v>
      </c>
      <c r="W31" s="35">
        <v>4368</v>
      </c>
    </row>
    <row r="32" spans="1:23" ht="17.25" thickBot="1">
      <c r="A32" s="78"/>
      <c r="B32" s="125" t="s">
        <v>46</v>
      </c>
      <c r="C32" s="126">
        <f t="shared" si="2"/>
        <v>28312</v>
      </c>
      <c r="D32" s="127">
        <f t="shared" si="3"/>
        <v>7.1743151813090739E-2</v>
      </c>
      <c r="E32" s="128">
        <v>28232</v>
      </c>
      <c r="F32" s="129">
        <f t="shared" si="5"/>
        <v>7.2615409940636033E-2</v>
      </c>
      <c r="G32" s="130">
        <f>E32-'24년 6월'!E32</f>
        <v>-79</v>
      </c>
      <c r="H32" s="131">
        <v>13550</v>
      </c>
      <c r="I32" s="129">
        <f t="shared" si="6"/>
        <v>3.4851898721153948E-2</v>
      </c>
      <c r="J32" s="131">
        <v>14682</v>
      </c>
      <c r="K32" s="129">
        <f t="shared" si="7"/>
        <v>3.7763511219482085E-2</v>
      </c>
      <c r="L32" s="128">
        <f t="shared" si="8"/>
        <v>80</v>
      </c>
      <c r="M32" s="132">
        <f t="shared" si="4"/>
        <v>1.3693940431359124E-2</v>
      </c>
      <c r="N32" s="133">
        <f>L32-'24년 6월'!L32</f>
        <v>3</v>
      </c>
      <c r="O32" s="134">
        <v>28</v>
      </c>
      <c r="P32" s="134">
        <v>52</v>
      </c>
      <c r="Q32" s="135">
        <v>10760</v>
      </c>
      <c r="R32" s="130">
        <f>Q32-'24년 6월'!Q32</f>
        <v>-21</v>
      </c>
      <c r="S32" s="134">
        <v>2.62</v>
      </c>
      <c r="T32" s="136"/>
      <c r="U32" s="48"/>
      <c r="V32" s="28">
        <v>28539</v>
      </c>
      <c r="W32" s="35">
        <v>10819</v>
      </c>
    </row>
    <row r="33" spans="1:21">
      <c r="A33" s="79"/>
      <c r="B33" s="80"/>
      <c r="C33" s="41"/>
      <c r="D33" s="41"/>
      <c r="E33" s="81"/>
      <c r="F33" s="81"/>
      <c r="G33" s="82"/>
      <c r="H33" s="81"/>
      <c r="I33" s="83"/>
      <c r="J33" s="81"/>
      <c r="K33" s="83"/>
      <c r="L33" s="47"/>
      <c r="N33" s="48"/>
      <c r="Q33" s="84"/>
      <c r="R33" s="85"/>
      <c r="S33" s="86"/>
      <c r="T33" s="87"/>
      <c r="U33" s="48"/>
    </row>
    <row r="34" spans="1:21">
      <c r="A34" s="39"/>
      <c r="B34" s="40" t="s">
        <v>66</v>
      </c>
      <c r="E34" s="41"/>
      <c r="F34" s="41"/>
      <c r="G34" s="41"/>
      <c r="H34" s="42"/>
      <c r="I34" s="43"/>
      <c r="J34" s="44"/>
      <c r="K34" s="44"/>
      <c r="Q34" s="45"/>
      <c r="R34" s="46"/>
      <c r="S34" s="47"/>
      <c r="U34" s="48"/>
    </row>
    <row r="35" spans="1:21">
      <c r="A35" s="39"/>
      <c r="B35" s="88"/>
      <c r="E35" s="41"/>
      <c r="F35" s="41"/>
      <c r="G35" s="41"/>
      <c r="H35" s="42"/>
      <c r="I35" s="43"/>
      <c r="J35" s="44"/>
      <c r="K35" s="44"/>
      <c r="Q35" s="45"/>
      <c r="R35" s="46"/>
      <c r="S35" s="47"/>
      <c r="U35" s="48"/>
    </row>
  </sheetData>
  <mergeCells count="12">
    <mergeCell ref="Q6:Q7"/>
    <mergeCell ref="R6:R7"/>
    <mergeCell ref="B2:T2"/>
    <mergeCell ref="B5:B7"/>
    <mergeCell ref="E5:K5"/>
    <mergeCell ref="Q5:R5"/>
    <mergeCell ref="S5:S7"/>
    <mergeCell ref="T5:T7"/>
    <mergeCell ref="C6:C7"/>
    <mergeCell ref="D6:D7"/>
    <mergeCell ref="E6:K6"/>
    <mergeCell ref="L6:P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A3D9-6D7E-41BA-9742-AD5DADA2DBFE}">
  <sheetPr>
    <tabColor theme="7"/>
  </sheetPr>
  <dimension ref="A1:X35"/>
  <sheetViews>
    <sheetView zoomScale="130" zoomScaleNormal="130" workbookViewId="0">
      <selection activeCell="B2" sqref="B2:T2"/>
    </sheetView>
  </sheetViews>
  <sheetFormatPr defaultRowHeight="16.5"/>
  <cols>
    <col min="1" max="1" width="1.25" customWidth="1"/>
    <col min="6" max="6" width="10" customWidth="1"/>
    <col min="13" max="13" width="9.875" customWidth="1"/>
    <col min="21" max="21" width="23.75" customWidth="1"/>
    <col min="22" max="23" width="9.625" hidden="1" customWidth="1"/>
  </cols>
  <sheetData>
    <row r="1" spans="1:24">
      <c r="A1" s="39"/>
      <c r="B1" s="52"/>
      <c r="C1" s="1"/>
      <c r="D1" s="1"/>
      <c r="E1" s="53"/>
      <c r="F1" s="53"/>
      <c r="G1" s="53"/>
      <c r="H1" s="53"/>
      <c r="I1" s="53"/>
      <c r="J1" s="53"/>
      <c r="K1" s="53"/>
      <c r="L1" s="2"/>
      <c r="M1" s="2"/>
      <c r="N1" s="2"/>
      <c r="O1" s="2"/>
      <c r="P1" s="2"/>
      <c r="Q1" s="53"/>
      <c r="R1" s="54"/>
      <c r="S1" s="55"/>
      <c r="T1" s="53"/>
      <c r="U1" s="48"/>
    </row>
    <row r="2" spans="1:24" ht="31.5">
      <c r="A2" s="56"/>
      <c r="B2" s="149" t="s">
        <v>67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48"/>
    </row>
    <row r="3" spans="1:24" ht="26.25">
      <c r="A3" s="56"/>
      <c r="B3" s="57"/>
      <c r="C3" s="3"/>
      <c r="D3" s="3"/>
      <c r="E3" s="58"/>
      <c r="F3" s="58"/>
      <c r="G3" s="58"/>
      <c r="H3" s="58"/>
      <c r="I3" s="58"/>
      <c r="J3" s="58"/>
      <c r="K3" s="58"/>
      <c r="L3" s="4"/>
      <c r="M3" s="4"/>
      <c r="O3" s="26"/>
      <c r="P3" s="26"/>
      <c r="Q3" s="58"/>
      <c r="R3" s="59"/>
      <c r="S3" s="60"/>
      <c r="T3" s="58"/>
      <c r="U3" s="48"/>
    </row>
    <row r="4" spans="1:24" ht="18" thickBot="1">
      <c r="A4" s="39"/>
      <c r="B4" s="61" t="s">
        <v>68</v>
      </c>
      <c r="C4" s="5"/>
      <c r="D4" s="5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64"/>
      <c r="S4" s="65"/>
      <c r="T4" s="66" t="s">
        <v>11</v>
      </c>
      <c r="U4" s="48"/>
    </row>
    <row r="5" spans="1:24" ht="16.5" customHeight="1">
      <c r="A5" s="39"/>
      <c r="B5" s="150" t="s">
        <v>12</v>
      </c>
      <c r="C5" s="111"/>
      <c r="D5" s="111"/>
      <c r="E5" s="153"/>
      <c r="F5" s="153"/>
      <c r="G5" s="153"/>
      <c r="H5" s="153"/>
      <c r="I5" s="153"/>
      <c r="J5" s="153"/>
      <c r="K5" s="153"/>
      <c r="L5" s="141"/>
      <c r="M5" s="141"/>
      <c r="N5" s="141"/>
      <c r="O5" s="141"/>
      <c r="P5" s="141"/>
      <c r="Q5" s="154" t="s">
        <v>13</v>
      </c>
      <c r="R5" s="153"/>
      <c r="S5" s="155" t="s">
        <v>37</v>
      </c>
      <c r="T5" s="158" t="s">
        <v>48</v>
      </c>
      <c r="U5" s="48"/>
    </row>
    <row r="6" spans="1:24">
      <c r="A6" s="39"/>
      <c r="B6" s="151"/>
      <c r="C6" s="161" t="s">
        <v>33</v>
      </c>
      <c r="D6" s="163" t="s">
        <v>14</v>
      </c>
      <c r="E6" s="165" t="s">
        <v>15</v>
      </c>
      <c r="F6" s="166"/>
      <c r="G6" s="166"/>
      <c r="H6" s="166"/>
      <c r="I6" s="166"/>
      <c r="J6" s="166"/>
      <c r="K6" s="167"/>
      <c r="L6" s="168" t="s">
        <v>0</v>
      </c>
      <c r="M6" s="166"/>
      <c r="N6" s="166"/>
      <c r="O6" s="166"/>
      <c r="P6" s="167"/>
      <c r="Q6" s="145" t="s">
        <v>16</v>
      </c>
      <c r="R6" s="147" t="s">
        <v>17</v>
      </c>
      <c r="S6" s="156"/>
      <c r="T6" s="159"/>
      <c r="U6" s="48"/>
    </row>
    <row r="7" spans="1:24" ht="29.25" thickBot="1">
      <c r="A7" s="39"/>
      <c r="B7" s="152"/>
      <c r="C7" s="162"/>
      <c r="D7" s="164"/>
      <c r="E7" s="142" t="s">
        <v>18</v>
      </c>
      <c r="F7" s="67" t="s">
        <v>19</v>
      </c>
      <c r="G7" s="68" t="s">
        <v>17</v>
      </c>
      <c r="H7" s="69" t="s">
        <v>20</v>
      </c>
      <c r="I7" s="68" t="s">
        <v>50</v>
      </c>
      <c r="J7" s="69" t="s">
        <v>21</v>
      </c>
      <c r="K7" s="68" t="s">
        <v>49</v>
      </c>
      <c r="L7" s="109" t="s">
        <v>22</v>
      </c>
      <c r="M7" s="68" t="s">
        <v>23</v>
      </c>
      <c r="N7" s="68" t="s">
        <v>17</v>
      </c>
      <c r="O7" s="110" t="s">
        <v>24</v>
      </c>
      <c r="P7" s="109" t="s">
        <v>25</v>
      </c>
      <c r="Q7" s="146"/>
      <c r="R7" s="148"/>
      <c r="S7" s="157"/>
      <c r="T7" s="160"/>
      <c r="U7" s="48"/>
      <c r="V7" s="70" t="s">
        <v>38</v>
      </c>
      <c r="W7" s="70" t="s">
        <v>39</v>
      </c>
    </row>
    <row r="8" spans="1:24" ht="17.25" thickTop="1">
      <c r="A8" s="39"/>
      <c r="B8" s="113" t="s">
        <v>26</v>
      </c>
      <c r="C8" s="8">
        <f>SUM(C9:C32)</f>
        <v>393793</v>
      </c>
      <c r="D8" s="19">
        <f>SUM(D9:D32)</f>
        <v>1</v>
      </c>
      <c r="E8" s="104">
        <v>387940</v>
      </c>
      <c r="F8" s="19">
        <f>SUM(F9:F32)</f>
        <v>1</v>
      </c>
      <c r="G8" s="32">
        <f>SUM(G9:G32)</f>
        <v>166</v>
      </c>
      <c r="H8" s="105">
        <v>193149</v>
      </c>
      <c r="I8" s="106">
        <f t="shared" ref="I8:K8" si="0">SUM(I9:I32)</f>
        <v>0.4978836933546425</v>
      </c>
      <c r="J8" s="105">
        <v>194791</v>
      </c>
      <c r="K8" s="106">
        <f t="shared" si="0"/>
        <v>0.50211630664535756</v>
      </c>
      <c r="L8" s="104">
        <f>SUM(O8:P8)</f>
        <v>5853</v>
      </c>
      <c r="M8" s="106">
        <f t="shared" ref="M8" si="1">SUM(M9:M32)</f>
        <v>1</v>
      </c>
      <c r="N8" s="96">
        <f>L8-'24년 5월'!L8</f>
        <v>32</v>
      </c>
      <c r="O8" s="31">
        <f>SUM(O9:O32)</f>
        <v>3576</v>
      </c>
      <c r="P8" s="31">
        <f>SUM(P9:P32)</f>
        <v>2277</v>
      </c>
      <c r="Q8" s="107">
        <v>162161</v>
      </c>
      <c r="R8" s="32">
        <f>SUM(R9:R32)</f>
        <v>98</v>
      </c>
      <c r="S8" s="108">
        <v>2.39</v>
      </c>
      <c r="T8" s="114"/>
      <c r="U8" s="92"/>
      <c r="V8" s="49">
        <v>386192</v>
      </c>
      <c r="W8" s="34">
        <v>160562</v>
      </c>
      <c r="X8" s="25"/>
    </row>
    <row r="9" spans="1:24">
      <c r="A9" s="39"/>
      <c r="B9" s="115" t="s">
        <v>1</v>
      </c>
      <c r="C9" s="10">
        <f t="shared" ref="C9:C32" si="2">E9+L9</f>
        <v>42201</v>
      </c>
      <c r="D9" s="20">
        <f t="shared" ref="D9:D32" si="3">C9/$C$8</f>
        <v>0.10716543971071096</v>
      </c>
      <c r="E9" s="28">
        <v>40528</v>
      </c>
      <c r="F9" s="38">
        <f>E9/$E$8</f>
        <v>0.10446976336546888</v>
      </c>
      <c r="G9" s="33">
        <f>E9-'24년 5월'!E9</f>
        <v>-49</v>
      </c>
      <c r="H9" s="51">
        <v>21054</v>
      </c>
      <c r="I9" s="38">
        <f>H9/$E$8</f>
        <v>5.427127906377275E-2</v>
      </c>
      <c r="J9" s="51">
        <v>19474</v>
      </c>
      <c r="K9" s="38">
        <f>J9/$E$8</f>
        <v>5.0198484301696142E-2</v>
      </c>
      <c r="L9" s="28">
        <f>SUM(O9:P9)</f>
        <v>1673</v>
      </c>
      <c r="M9" s="11">
        <f t="shared" ref="M9:M32" si="4">L9/$L$8</f>
        <v>0.28583632325303265</v>
      </c>
      <c r="N9" s="96">
        <f>L9-'24년 5월'!L9</f>
        <v>-22</v>
      </c>
      <c r="O9" s="73">
        <v>866</v>
      </c>
      <c r="P9" s="73">
        <v>807</v>
      </c>
      <c r="Q9" s="35">
        <v>20342</v>
      </c>
      <c r="R9" s="33">
        <f>Q9-'24년 5월'!Q9</f>
        <v>-19</v>
      </c>
      <c r="S9" s="90">
        <v>1.99</v>
      </c>
      <c r="T9" s="116"/>
      <c r="U9" s="48"/>
      <c r="V9" s="28">
        <v>41784</v>
      </c>
      <c r="W9" s="35">
        <v>20662</v>
      </c>
    </row>
    <row r="10" spans="1:24">
      <c r="A10" s="39"/>
      <c r="B10" s="115" t="s">
        <v>2</v>
      </c>
      <c r="C10" s="10">
        <f t="shared" si="2"/>
        <v>2501</v>
      </c>
      <c r="D10" s="20">
        <f t="shared" si="3"/>
        <v>6.35105245649364E-3</v>
      </c>
      <c r="E10" s="28">
        <v>2414</v>
      </c>
      <c r="F10" s="38">
        <f t="shared" ref="F10:F32" si="5">E10/$E$8</f>
        <v>6.2226117440841366E-3</v>
      </c>
      <c r="G10" s="33">
        <f>E10-'24년 5월'!E10</f>
        <v>10</v>
      </c>
      <c r="H10" s="51">
        <v>1383</v>
      </c>
      <c r="I10" s="38">
        <f t="shared" ref="I10:I32" si="6">H10/$E$8</f>
        <v>3.5649842759189567E-3</v>
      </c>
      <c r="J10" s="51">
        <v>1031</v>
      </c>
      <c r="K10" s="38">
        <f t="shared" ref="K10:K32" si="7">J10/$E$8</f>
        <v>2.6576274681651803E-3</v>
      </c>
      <c r="L10" s="28">
        <f t="shared" ref="L10:L32" si="8">SUM(O10:P10)</f>
        <v>87</v>
      </c>
      <c r="M10" s="11">
        <f t="shared" si="4"/>
        <v>1.486417221937468E-2</v>
      </c>
      <c r="N10" s="96">
        <f>L10-'24년 5월'!L10</f>
        <v>-2</v>
      </c>
      <c r="O10" s="73">
        <v>58</v>
      </c>
      <c r="P10" s="73">
        <v>29</v>
      </c>
      <c r="Q10" s="35">
        <v>1459</v>
      </c>
      <c r="R10" s="33">
        <f>Q10-'24년 5월'!Q10</f>
        <v>2</v>
      </c>
      <c r="S10" s="73">
        <v>1.65</v>
      </c>
      <c r="T10" s="116"/>
      <c r="U10" s="48"/>
      <c r="V10" s="28">
        <v>2567</v>
      </c>
      <c r="W10" s="35">
        <v>1558</v>
      </c>
      <c r="X10" s="25"/>
    </row>
    <row r="11" spans="1:24">
      <c r="A11" s="39"/>
      <c r="B11" s="115" t="s">
        <v>3</v>
      </c>
      <c r="C11" s="10">
        <f t="shared" si="2"/>
        <v>2972</v>
      </c>
      <c r="D11" s="20">
        <f t="shared" si="3"/>
        <v>7.5471123153534976E-3</v>
      </c>
      <c r="E11" s="28">
        <v>2779</v>
      </c>
      <c r="F11" s="38">
        <f t="shared" si="5"/>
        <v>7.1634788884879109E-3</v>
      </c>
      <c r="G11" s="33">
        <f>E11-'24년 5월'!E11</f>
        <v>6</v>
      </c>
      <c r="H11" s="51">
        <v>1452</v>
      </c>
      <c r="I11" s="38">
        <f t="shared" si="6"/>
        <v>3.7428468319843275E-3</v>
      </c>
      <c r="J11" s="51">
        <v>1327</v>
      </c>
      <c r="K11" s="38">
        <f t="shared" si="7"/>
        <v>3.4206320565035829E-3</v>
      </c>
      <c r="L11" s="28">
        <f t="shared" si="8"/>
        <v>193</v>
      </c>
      <c r="M11" s="11">
        <f t="shared" si="4"/>
        <v>3.2974542969417396E-2</v>
      </c>
      <c r="N11" s="96">
        <f>L11-'24년 5월'!L11</f>
        <v>1</v>
      </c>
      <c r="O11" s="73">
        <v>156</v>
      </c>
      <c r="P11" s="73">
        <v>37</v>
      </c>
      <c r="Q11" s="35">
        <v>1638</v>
      </c>
      <c r="R11" s="33">
        <f>Q11-'24년 5월'!Q11</f>
        <v>2</v>
      </c>
      <c r="S11" s="73">
        <v>1.7</v>
      </c>
      <c r="T11" s="116"/>
      <c r="U11" s="48"/>
      <c r="V11" s="28">
        <v>2905</v>
      </c>
      <c r="W11" s="35">
        <v>1681</v>
      </c>
    </row>
    <row r="12" spans="1:24">
      <c r="A12" s="39"/>
      <c r="B12" s="115" t="s">
        <v>4</v>
      </c>
      <c r="C12" s="10">
        <f t="shared" si="2"/>
        <v>5782</v>
      </c>
      <c r="D12" s="20">
        <f t="shared" si="3"/>
        <v>1.4682840984984498E-2</v>
      </c>
      <c r="E12" s="28">
        <v>5446</v>
      </c>
      <c r="F12" s="38">
        <f t="shared" si="5"/>
        <v>1.4038253338145073E-2</v>
      </c>
      <c r="G12" s="33">
        <f>E12-'24년 5월'!E12</f>
        <v>-1</v>
      </c>
      <c r="H12" s="51">
        <v>2998</v>
      </c>
      <c r="I12" s="38">
        <f t="shared" si="6"/>
        <v>7.7279991751301744E-3</v>
      </c>
      <c r="J12" s="51">
        <v>2448</v>
      </c>
      <c r="K12" s="38">
        <f t="shared" si="7"/>
        <v>6.3102541630148988E-3</v>
      </c>
      <c r="L12" s="28">
        <f t="shared" si="8"/>
        <v>336</v>
      </c>
      <c r="M12" s="11">
        <f t="shared" si="4"/>
        <v>5.7406458226550487E-2</v>
      </c>
      <c r="N12" s="96">
        <f>L12-'24년 5월'!L12</f>
        <v>9</v>
      </c>
      <c r="O12" s="73">
        <v>278</v>
      </c>
      <c r="P12" s="73">
        <v>58</v>
      </c>
      <c r="Q12" s="35">
        <v>3074</v>
      </c>
      <c r="R12" s="33">
        <f>Q12-'24년 5월'!Q12</f>
        <v>6</v>
      </c>
      <c r="S12" s="73">
        <v>1.77</v>
      </c>
      <c r="T12" s="116"/>
      <c r="U12" s="48"/>
      <c r="V12" s="28">
        <v>5701</v>
      </c>
      <c r="W12" s="35">
        <v>3187</v>
      </c>
    </row>
    <row r="13" spans="1:24">
      <c r="A13" s="39"/>
      <c r="B13" s="115" t="s">
        <v>5</v>
      </c>
      <c r="C13" s="10">
        <f t="shared" si="2"/>
        <v>8609</v>
      </c>
      <c r="D13" s="20">
        <f t="shared" si="3"/>
        <v>2.1861739543364154E-2</v>
      </c>
      <c r="E13" s="28">
        <v>8328</v>
      </c>
      <c r="F13" s="38">
        <f t="shared" si="5"/>
        <v>2.1467237201629116E-2</v>
      </c>
      <c r="G13" s="33">
        <f>E13-'24년 5월'!E13</f>
        <v>-3</v>
      </c>
      <c r="H13" s="51">
        <v>4446</v>
      </c>
      <c r="I13" s="38">
        <f t="shared" si="6"/>
        <v>1.1460535134299118E-2</v>
      </c>
      <c r="J13" s="51">
        <v>3882</v>
      </c>
      <c r="K13" s="38">
        <f t="shared" si="7"/>
        <v>1.000670206733E-2</v>
      </c>
      <c r="L13" s="28">
        <f t="shared" si="8"/>
        <v>281</v>
      </c>
      <c r="M13" s="11">
        <f t="shared" si="4"/>
        <v>4.8009567743037759E-2</v>
      </c>
      <c r="N13" s="96">
        <f>L13-'24년 5월'!L13</f>
        <v>4</v>
      </c>
      <c r="O13" s="73">
        <v>184</v>
      </c>
      <c r="P13" s="73">
        <v>97</v>
      </c>
      <c r="Q13" s="35">
        <v>4735</v>
      </c>
      <c r="R13" s="33">
        <f>Q13-'24년 5월'!Q13</f>
        <v>-7</v>
      </c>
      <c r="S13" s="73">
        <v>1.76</v>
      </c>
      <c r="T13" s="116"/>
      <c r="U13" s="48"/>
      <c r="V13" s="28">
        <v>8518</v>
      </c>
      <c r="W13" s="35">
        <v>4795</v>
      </c>
    </row>
    <row r="14" spans="1:24">
      <c r="A14" s="39"/>
      <c r="B14" s="115" t="s">
        <v>6</v>
      </c>
      <c r="C14" s="10">
        <f t="shared" si="2"/>
        <v>7006</v>
      </c>
      <c r="D14" s="20">
        <f t="shared" si="3"/>
        <v>1.7791072974887821E-2</v>
      </c>
      <c r="E14" s="28">
        <v>6539</v>
      </c>
      <c r="F14" s="38">
        <f t="shared" si="5"/>
        <v>1.6855699334948702E-2</v>
      </c>
      <c r="G14" s="33">
        <f>E14-'24년 5월'!E14</f>
        <v>-7</v>
      </c>
      <c r="H14" s="51">
        <v>3843</v>
      </c>
      <c r="I14" s="38">
        <f t="shared" si="6"/>
        <v>9.9061710573800071E-3</v>
      </c>
      <c r="J14" s="51">
        <v>2696</v>
      </c>
      <c r="K14" s="38">
        <f t="shared" si="7"/>
        <v>6.9495282775686963E-3</v>
      </c>
      <c r="L14" s="28">
        <f t="shared" si="8"/>
        <v>467</v>
      </c>
      <c r="M14" s="11">
        <f t="shared" si="4"/>
        <v>7.9788142832735345E-2</v>
      </c>
      <c r="N14" s="96">
        <f>L14-'24년 5월'!L14</f>
        <v>15</v>
      </c>
      <c r="O14" s="73">
        <v>335</v>
      </c>
      <c r="P14" s="73">
        <v>132</v>
      </c>
      <c r="Q14" s="35">
        <v>4087</v>
      </c>
      <c r="R14" s="33">
        <f>Q14-'24년 5월'!Q14</f>
        <v>-10</v>
      </c>
      <c r="S14" s="90">
        <v>1.6</v>
      </c>
      <c r="T14" s="116"/>
      <c r="U14" s="48"/>
      <c r="V14" s="28">
        <v>6785</v>
      </c>
      <c r="W14" s="35">
        <v>4218</v>
      </c>
    </row>
    <row r="15" spans="1:24">
      <c r="A15" s="39"/>
      <c r="B15" s="115" t="s">
        <v>7</v>
      </c>
      <c r="C15" s="10">
        <f t="shared" si="2"/>
        <v>7067</v>
      </c>
      <c r="D15" s="20">
        <f t="shared" si="3"/>
        <v>1.7945976693338885E-2</v>
      </c>
      <c r="E15" s="28">
        <v>6826</v>
      </c>
      <c r="F15" s="38">
        <f t="shared" si="5"/>
        <v>1.7595504459452491E-2</v>
      </c>
      <c r="G15" s="33">
        <f>E15-'24년 5월'!E15</f>
        <v>-7</v>
      </c>
      <c r="H15" s="51">
        <v>3722</v>
      </c>
      <c r="I15" s="38">
        <f t="shared" si="6"/>
        <v>9.5942671547146474E-3</v>
      </c>
      <c r="J15" s="51">
        <v>3104</v>
      </c>
      <c r="K15" s="38">
        <f t="shared" si="7"/>
        <v>8.0012373047378457E-3</v>
      </c>
      <c r="L15" s="28">
        <f t="shared" si="8"/>
        <v>241</v>
      </c>
      <c r="M15" s="11">
        <f t="shared" si="4"/>
        <v>4.1175465573210321E-2</v>
      </c>
      <c r="N15" s="96">
        <f>L15-'24년 5월'!L15</f>
        <v>9</v>
      </c>
      <c r="O15" s="73">
        <v>179</v>
      </c>
      <c r="P15" s="73">
        <v>62</v>
      </c>
      <c r="Q15" s="35">
        <v>3709</v>
      </c>
      <c r="R15" s="33">
        <f>Q15-'24년 5월'!Q15</f>
        <v>-7</v>
      </c>
      <c r="S15" s="73">
        <v>1.84</v>
      </c>
      <c r="T15" s="116"/>
      <c r="U15" s="48"/>
      <c r="V15" s="28">
        <v>7041</v>
      </c>
      <c r="W15" s="35">
        <v>3821</v>
      </c>
    </row>
    <row r="16" spans="1:24">
      <c r="A16" s="39"/>
      <c r="B16" s="115" t="s">
        <v>8</v>
      </c>
      <c r="C16" s="10">
        <f t="shared" si="2"/>
        <v>5721</v>
      </c>
      <c r="D16" s="20">
        <f t="shared" si="3"/>
        <v>1.4527937266533432E-2</v>
      </c>
      <c r="E16" s="28">
        <v>5181</v>
      </c>
      <c r="F16" s="38">
        <f t="shared" si="5"/>
        <v>1.3355158014125896E-2</v>
      </c>
      <c r="G16" s="33">
        <f>E16-'24년 5월'!E16</f>
        <v>-14</v>
      </c>
      <c r="H16" s="51">
        <v>2745</v>
      </c>
      <c r="I16" s="38">
        <f t="shared" si="6"/>
        <v>7.0758364695571478E-3</v>
      </c>
      <c r="J16" s="51">
        <v>2436</v>
      </c>
      <c r="K16" s="38">
        <f t="shared" si="7"/>
        <v>6.2793215445687478E-3</v>
      </c>
      <c r="L16" s="28">
        <f t="shared" si="8"/>
        <v>540</v>
      </c>
      <c r="M16" s="11">
        <f t="shared" si="4"/>
        <v>9.2260379292670419E-2</v>
      </c>
      <c r="N16" s="96">
        <f>L16-'24년 5월'!L16</f>
        <v>2</v>
      </c>
      <c r="O16" s="73">
        <v>452</v>
      </c>
      <c r="P16" s="73">
        <v>88</v>
      </c>
      <c r="Q16" s="35">
        <v>2930</v>
      </c>
      <c r="R16" s="33">
        <f>Q16-'24년 5월'!Q16</f>
        <v>-5</v>
      </c>
      <c r="S16" s="73">
        <v>1.77</v>
      </c>
      <c r="T16" s="116"/>
      <c r="U16" s="48"/>
      <c r="V16" s="28">
        <v>5397</v>
      </c>
      <c r="W16" s="35">
        <v>3039</v>
      </c>
    </row>
    <row r="17" spans="1:23">
      <c r="A17" s="39"/>
      <c r="B17" s="115" t="s">
        <v>9</v>
      </c>
      <c r="C17" s="10">
        <f t="shared" si="2"/>
        <v>3403</v>
      </c>
      <c r="D17" s="20">
        <f t="shared" si="3"/>
        <v>8.6415959653929862E-3</v>
      </c>
      <c r="E17" s="28">
        <v>3107</v>
      </c>
      <c r="F17" s="38">
        <f t="shared" si="5"/>
        <v>8.0089704593493839E-3</v>
      </c>
      <c r="G17" s="33">
        <f>E17-'24년 5월'!E17</f>
        <v>-11</v>
      </c>
      <c r="H17" s="51">
        <v>1658</v>
      </c>
      <c r="I17" s="38">
        <f t="shared" si="6"/>
        <v>4.2738567819765941E-3</v>
      </c>
      <c r="J17" s="51">
        <v>1449</v>
      </c>
      <c r="K17" s="38">
        <f t="shared" si="7"/>
        <v>3.7351136773727898E-3</v>
      </c>
      <c r="L17" s="28">
        <f t="shared" si="8"/>
        <v>296</v>
      </c>
      <c r="M17" s="11">
        <f t="shared" si="4"/>
        <v>5.0572356056723049E-2</v>
      </c>
      <c r="N17" s="96">
        <f>L17-'24년 5월'!L17</f>
        <v>7</v>
      </c>
      <c r="O17" s="73">
        <v>255</v>
      </c>
      <c r="P17" s="73">
        <v>41</v>
      </c>
      <c r="Q17" s="35">
        <v>1836</v>
      </c>
      <c r="R17" s="33">
        <f>Q17-'24년 5월'!Q17</f>
        <v>-8</v>
      </c>
      <c r="S17" s="73">
        <v>1.69</v>
      </c>
      <c r="T17" s="116"/>
      <c r="U17" s="48"/>
      <c r="V17" s="28">
        <v>3214</v>
      </c>
      <c r="W17" s="35">
        <v>1896</v>
      </c>
    </row>
    <row r="18" spans="1:23">
      <c r="A18" s="39"/>
      <c r="B18" s="115" t="s">
        <v>10</v>
      </c>
      <c r="C18" s="10">
        <f t="shared" si="2"/>
        <v>2371</v>
      </c>
      <c r="D18" s="20">
        <f t="shared" si="3"/>
        <v>6.0209297778274374E-3</v>
      </c>
      <c r="E18" s="28">
        <v>2091</v>
      </c>
      <c r="F18" s="38">
        <f t="shared" si="5"/>
        <v>5.3900087642418928E-3</v>
      </c>
      <c r="G18" s="33">
        <f>E18-'24년 5월'!E18</f>
        <v>4</v>
      </c>
      <c r="H18" s="51">
        <v>1122</v>
      </c>
      <c r="I18" s="38">
        <f t="shared" si="6"/>
        <v>2.8921998247151623E-3</v>
      </c>
      <c r="J18" s="51">
        <v>969</v>
      </c>
      <c r="K18" s="38">
        <f t="shared" si="7"/>
        <v>2.497808939526731E-3</v>
      </c>
      <c r="L18" s="28">
        <f t="shared" si="8"/>
        <v>280</v>
      </c>
      <c r="M18" s="11">
        <f t="shared" si="4"/>
        <v>4.7838715188792069E-2</v>
      </c>
      <c r="N18" s="96">
        <f>L18-'24년 5월'!L18</f>
        <v>-2</v>
      </c>
      <c r="O18" s="73">
        <v>248</v>
      </c>
      <c r="P18" s="73">
        <v>32</v>
      </c>
      <c r="Q18" s="35">
        <v>1115</v>
      </c>
      <c r="R18" s="33">
        <f>Q18-'24년 5월'!Q18</f>
        <v>6</v>
      </c>
      <c r="S18" s="73">
        <v>1.88</v>
      </c>
      <c r="T18" s="116"/>
      <c r="U18" s="48"/>
      <c r="V18" s="28">
        <v>2187</v>
      </c>
      <c r="W18" s="35">
        <v>1146</v>
      </c>
    </row>
    <row r="19" spans="1:23">
      <c r="A19" s="39"/>
      <c r="B19" s="115" t="s">
        <v>27</v>
      </c>
      <c r="C19" s="10">
        <f t="shared" si="2"/>
        <v>18162</v>
      </c>
      <c r="D19" s="20">
        <f t="shared" si="3"/>
        <v>4.6120677614889041E-2</v>
      </c>
      <c r="E19" s="28">
        <v>18103</v>
      </c>
      <c r="F19" s="38">
        <f t="shared" si="5"/>
        <v>4.6664432644223333E-2</v>
      </c>
      <c r="G19" s="33">
        <f>E19-'24년 5월'!E19</f>
        <v>-31</v>
      </c>
      <c r="H19" s="51">
        <v>8939</v>
      </c>
      <c r="I19" s="38">
        <f t="shared" si="6"/>
        <v>2.3042223024178996E-2</v>
      </c>
      <c r="J19" s="51">
        <v>9164</v>
      </c>
      <c r="K19" s="38">
        <f t="shared" si="7"/>
        <v>2.3622209620044337E-2</v>
      </c>
      <c r="L19" s="28">
        <f t="shared" si="8"/>
        <v>59</v>
      </c>
      <c r="M19" s="11">
        <f t="shared" si="4"/>
        <v>1.0080300700495473E-2</v>
      </c>
      <c r="N19" s="96">
        <f>L19-'24년 5월'!L19</f>
        <v>0</v>
      </c>
      <c r="O19" s="73">
        <v>23</v>
      </c>
      <c r="P19" s="73">
        <v>36</v>
      </c>
      <c r="Q19" s="35">
        <v>6333</v>
      </c>
      <c r="R19" s="33">
        <f>Q19-'24년 5월'!Q19</f>
        <v>-2</v>
      </c>
      <c r="S19" s="73">
        <v>2.86</v>
      </c>
      <c r="T19" s="117"/>
      <c r="U19" s="48"/>
      <c r="V19" s="28">
        <v>18422</v>
      </c>
      <c r="W19" s="35">
        <v>6404</v>
      </c>
    </row>
    <row r="20" spans="1:23">
      <c r="A20" s="39"/>
      <c r="B20" s="115" t="s">
        <v>34</v>
      </c>
      <c r="C20" s="10">
        <f t="shared" si="2"/>
        <v>26539</v>
      </c>
      <c r="D20" s="20">
        <f t="shared" si="3"/>
        <v>6.7393275147095047E-2</v>
      </c>
      <c r="E20" s="28">
        <v>26470</v>
      </c>
      <c r="F20" s="38">
        <f t="shared" si="5"/>
        <v>6.823220085580245E-2</v>
      </c>
      <c r="G20" s="33">
        <f>E20-'24년 5월'!E20</f>
        <v>19</v>
      </c>
      <c r="H20" s="51">
        <v>12793</v>
      </c>
      <c r="I20" s="38">
        <f t="shared" si="6"/>
        <v>3.2976748981801307E-2</v>
      </c>
      <c r="J20" s="51">
        <v>13677</v>
      </c>
      <c r="K20" s="38">
        <f t="shared" si="7"/>
        <v>3.5255451874001136E-2</v>
      </c>
      <c r="L20" s="28">
        <f t="shared" si="8"/>
        <v>69</v>
      </c>
      <c r="M20" s="11">
        <f t="shared" si="4"/>
        <v>1.1788826242952332E-2</v>
      </c>
      <c r="N20" s="96">
        <f>L20-'24년 5월'!L20</f>
        <v>1</v>
      </c>
      <c r="O20" s="73">
        <v>21</v>
      </c>
      <c r="P20" s="73">
        <v>48</v>
      </c>
      <c r="Q20" s="35">
        <v>9688</v>
      </c>
      <c r="R20" s="33">
        <f>Q20-'24년 5월'!Q20</f>
        <v>4</v>
      </c>
      <c r="S20" s="73">
        <v>2.73</v>
      </c>
      <c r="T20" s="117"/>
      <c r="U20" s="48"/>
      <c r="V20" s="28">
        <v>26600</v>
      </c>
      <c r="W20" s="35">
        <v>9752</v>
      </c>
    </row>
    <row r="21" spans="1:23">
      <c r="A21" s="39"/>
      <c r="B21" s="118" t="s">
        <v>65</v>
      </c>
      <c r="C21" s="10">
        <f t="shared" si="2"/>
        <v>13220</v>
      </c>
      <c r="D21" s="20">
        <f t="shared" si="3"/>
        <v>3.3570937015132314E-2</v>
      </c>
      <c r="E21" s="29">
        <v>13078</v>
      </c>
      <c r="F21" s="38">
        <f t="shared" si="5"/>
        <v>3.3711398669897405E-2</v>
      </c>
      <c r="G21" s="33">
        <f>E21-'24년 5월'!E21</f>
        <v>-5</v>
      </c>
      <c r="H21" s="51">
        <v>6398</v>
      </c>
      <c r="I21" s="38">
        <f t="shared" si="6"/>
        <v>1.6492241068206424E-2</v>
      </c>
      <c r="J21" s="51">
        <v>6680</v>
      </c>
      <c r="K21" s="38">
        <f t="shared" si="7"/>
        <v>1.7219157601690984E-2</v>
      </c>
      <c r="L21" s="28">
        <f t="shared" si="8"/>
        <v>142</v>
      </c>
      <c r="M21" s="11">
        <f t="shared" si="4"/>
        <v>2.4261062702887408E-2</v>
      </c>
      <c r="N21" s="96">
        <f>L21-'24년 5월'!L21</f>
        <v>-1</v>
      </c>
      <c r="O21" s="73">
        <v>64</v>
      </c>
      <c r="P21" s="73">
        <v>78</v>
      </c>
      <c r="Q21" s="36">
        <v>5940</v>
      </c>
      <c r="R21" s="33">
        <f>Q21-'24년 5월'!Q21</f>
        <v>-6</v>
      </c>
      <c r="S21" s="74">
        <v>2.2000000000000002</v>
      </c>
      <c r="T21" s="119"/>
      <c r="U21" s="48"/>
      <c r="V21" s="29">
        <v>13375</v>
      </c>
      <c r="W21" s="36">
        <v>6073</v>
      </c>
    </row>
    <row r="22" spans="1:23">
      <c r="A22" s="39"/>
      <c r="B22" s="118" t="s">
        <v>41</v>
      </c>
      <c r="C22" s="10">
        <f t="shared" si="2"/>
        <v>25013</v>
      </c>
      <c r="D22" s="20">
        <f t="shared" si="3"/>
        <v>6.3518142780597933E-2</v>
      </c>
      <c r="E22" s="29">
        <v>24860</v>
      </c>
      <c r="F22" s="38">
        <f t="shared" si="5"/>
        <v>6.408207454761046E-2</v>
      </c>
      <c r="G22" s="33">
        <f>E22-'24년 5월'!E22</f>
        <v>-27</v>
      </c>
      <c r="H22" s="51">
        <v>11973</v>
      </c>
      <c r="I22" s="38">
        <f t="shared" si="6"/>
        <v>3.0863020054647625E-2</v>
      </c>
      <c r="J22" s="51">
        <v>12887</v>
      </c>
      <c r="K22" s="38">
        <f t="shared" si="7"/>
        <v>3.3219054492962828E-2</v>
      </c>
      <c r="L22" s="28">
        <f t="shared" si="8"/>
        <v>153</v>
      </c>
      <c r="M22" s="11">
        <f t="shared" si="4"/>
        <v>2.6140440799589954E-2</v>
      </c>
      <c r="N22" s="96">
        <f>L22-'24년 5월'!L22</f>
        <v>0</v>
      </c>
      <c r="O22" s="73">
        <v>60</v>
      </c>
      <c r="P22" s="73">
        <v>93</v>
      </c>
      <c r="Q22" s="36">
        <v>10178</v>
      </c>
      <c r="R22" s="33">
        <f>Q22-'24년 5월'!Q22</f>
        <v>-20</v>
      </c>
      <c r="S22" s="74">
        <v>2.44</v>
      </c>
      <c r="T22" s="119"/>
      <c r="U22" s="48"/>
      <c r="V22" s="29">
        <v>25473</v>
      </c>
      <c r="W22" s="36">
        <v>10280</v>
      </c>
    </row>
    <row r="23" spans="1:23">
      <c r="A23" s="39"/>
      <c r="B23" s="118" t="s">
        <v>42</v>
      </c>
      <c r="C23" s="10">
        <f t="shared" si="2"/>
        <v>11288</v>
      </c>
      <c r="D23" s="20">
        <f t="shared" si="3"/>
        <v>2.866480612910844E-2</v>
      </c>
      <c r="E23" s="29">
        <v>11222</v>
      </c>
      <c r="F23" s="38">
        <f t="shared" si="5"/>
        <v>2.8927153683559314E-2</v>
      </c>
      <c r="G23" s="33">
        <f>E23-'24년 5월'!E23</f>
        <v>-3</v>
      </c>
      <c r="H23" s="51">
        <v>5544</v>
      </c>
      <c r="I23" s="38">
        <f t="shared" si="6"/>
        <v>1.4290869722121978E-2</v>
      </c>
      <c r="J23" s="51">
        <v>5678</v>
      </c>
      <c r="K23" s="38">
        <f t="shared" si="7"/>
        <v>1.4636283961437336E-2</v>
      </c>
      <c r="L23" s="28">
        <f t="shared" si="8"/>
        <v>66</v>
      </c>
      <c r="M23" s="11">
        <f t="shared" si="4"/>
        <v>1.1276268580215274E-2</v>
      </c>
      <c r="N23" s="96">
        <f>L23-'24년 5월'!L23</f>
        <v>3</v>
      </c>
      <c r="O23" s="73">
        <v>30</v>
      </c>
      <c r="P23" s="73">
        <v>36</v>
      </c>
      <c r="Q23" s="36">
        <v>5306</v>
      </c>
      <c r="R23" s="33">
        <f>Q23-'24년 5월'!Q23</f>
        <v>-13</v>
      </c>
      <c r="S23" s="74">
        <v>2.11</v>
      </c>
      <c r="T23" s="119"/>
      <c r="U23" s="48"/>
      <c r="V23" s="29">
        <v>11235</v>
      </c>
      <c r="W23" s="36">
        <v>5323</v>
      </c>
    </row>
    <row r="24" spans="1:23">
      <c r="A24" s="39"/>
      <c r="B24" s="115" t="s">
        <v>35</v>
      </c>
      <c r="C24" s="10">
        <f t="shared" si="2"/>
        <v>15292</v>
      </c>
      <c r="D24" s="20">
        <f t="shared" si="3"/>
        <v>3.8832584632027489E-2</v>
      </c>
      <c r="E24" s="28">
        <v>15198</v>
      </c>
      <c r="F24" s="38">
        <f t="shared" si="5"/>
        <v>3.9176161262050833E-2</v>
      </c>
      <c r="G24" s="33">
        <f>E24-'24년 5월'!E24</f>
        <v>297</v>
      </c>
      <c r="H24" s="51">
        <v>7377</v>
      </c>
      <c r="I24" s="38">
        <f t="shared" si="6"/>
        <v>1.9015827189771614E-2</v>
      </c>
      <c r="J24" s="51">
        <v>7821</v>
      </c>
      <c r="K24" s="38">
        <f t="shared" si="7"/>
        <v>2.0160334072279219E-2</v>
      </c>
      <c r="L24" s="28">
        <f t="shared" si="8"/>
        <v>94</v>
      </c>
      <c r="M24" s="11">
        <f t="shared" si="4"/>
        <v>1.6060140099094483E-2</v>
      </c>
      <c r="N24" s="96">
        <f>L24-'24년 5월'!L24</f>
        <v>6</v>
      </c>
      <c r="O24" s="73">
        <v>54</v>
      </c>
      <c r="P24" s="73">
        <v>40</v>
      </c>
      <c r="Q24" s="35">
        <v>5803</v>
      </c>
      <c r="R24" s="33">
        <f>Q24-'24년 5월'!Q24</f>
        <v>138</v>
      </c>
      <c r="S24" s="73">
        <v>2.62</v>
      </c>
      <c r="T24" s="117"/>
      <c r="U24" s="48"/>
      <c r="V24" s="28">
        <v>8925</v>
      </c>
      <c r="W24" s="35">
        <v>3139</v>
      </c>
    </row>
    <row r="25" spans="1:23">
      <c r="A25" s="39"/>
      <c r="B25" s="120" t="s">
        <v>28</v>
      </c>
      <c r="C25" s="10">
        <f t="shared" si="2"/>
        <v>23418</v>
      </c>
      <c r="D25" s="20">
        <f t="shared" si="3"/>
        <v>5.9467791453885671E-2</v>
      </c>
      <c r="E25" s="30">
        <v>23355</v>
      </c>
      <c r="F25" s="38">
        <f t="shared" si="5"/>
        <v>6.020260865082229E-2</v>
      </c>
      <c r="G25" s="33">
        <f>E25-'24년 5월'!E25</f>
        <v>3</v>
      </c>
      <c r="H25" s="51">
        <v>11551</v>
      </c>
      <c r="I25" s="38">
        <f t="shared" si="6"/>
        <v>2.9775222972624634E-2</v>
      </c>
      <c r="J25" s="51">
        <v>11804</v>
      </c>
      <c r="K25" s="38">
        <f t="shared" si="7"/>
        <v>3.0427385678197659E-2</v>
      </c>
      <c r="L25" s="28">
        <f t="shared" si="8"/>
        <v>63</v>
      </c>
      <c r="M25" s="11">
        <f t="shared" si="4"/>
        <v>1.0763710917478216E-2</v>
      </c>
      <c r="N25" s="96">
        <f>L25-'24년 5월'!L25</f>
        <v>0</v>
      </c>
      <c r="O25" s="73">
        <v>24</v>
      </c>
      <c r="P25" s="73">
        <v>39</v>
      </c>
      <c r="Q25" s="37">
        <v>7924</v>
      </c>
      <c r="R25" s="33">
        <f>Q25-'24년 5월'!Q25</f>
        <v>9</v>
      </c>
      <c r="S25" s="75">
        <v>2.95</v>
      </c>
      <c r="T25" s="121"/>
      <c r="U25" s="48"/>
      <c r="V25" s="30">
        <v>23623</v>
      </c>
      <c r="W25" s="37">
        <v>7957</v>
      </c>
    </row>
    <row r="26" spans="1:23">
      <c r="A26" s="76"/>
      <c r="B26" s="115" t="s">
        <v>29</v>
      </c>
      <c r="C26" s="10">
        <f t="shared" si="2"/>
        <v>27949</v>
      </c>
      <c r="D26" s="20">
        <f t="shared" si="3"/>
        <v>7.0973836508013088E-2</v>
      </c>
      <c r="E26" s="28">
        <v>27828</v>
      </c>
      <c r="F26" s="38">
        <f t="shared" si="5"/>
        <v>7.1732742176625258E-2</v>
      </c>
      <c r="G26" s="33">
        <f>E26-'24년 5월'!E26</f>
        <v>5</v>
      </c>
      <c r="H26" s="51">
        <v>13542</v>
      </c>
      <c r="I26" s="38">
        <f t="shared" si="6"/>
        <v>3.4907459916481927E-2</v>
      </c>
      <c r="J26" s="51">
        <v>14286</v>
      </c>
      <c r="K26" s="38">
        <f t="shared" si="7"/>
        <v>3.6825282260143324E-2</v>
      </c>
      <c r="L26" s="28">
        <f t="shared" si="8"/>
        <v>121</v>
      </c>
      <c r="M26" s="11">
        <f t="shared" si="4"/>
        <v>2.0673159063728002E-2</v>
      </c>
      <c r="N26" s="96">
        <f>L26-'24년 5월'!L26</f>
        <v>-1</v>
      </c>
      <c r="O26" s="73">
        <v>34</v>
      </c>
      <c r="P26" s="73">
        <v>87</v>
      </c>
      <c r="Q26" s="35">
        <v>10738</v>
      </c>
      <c r="R26" s="33">
        <f>Q26-'24년 5월'!Q26</f>
        <v>-3</v>
      </c>
      <c r="S26" s="90">
        <v>2.59</v>
      </c>
      <c r="T26" s="122"/>
      <c r="U26" s="48"/>
      <c r="V26" s="28">
        <v>28470</v>
      </c>
      <c r="W26" s="35">
        <v>10826</v>
      </c>
    </row>
    <row r="27" spans="1:23">
      <c r="A27" s="77"/>
      <c r="B27" s="115" t="s">
        <v>30</v>
      </c>
      <c r="C27" s="10">
        <f t="shared" si="2"/>
        <v>35966</v>
      </c>
      <c r="D27" s="20">
        <f t="shared" si="3"/>
        <v>9.1332248160835766E-2</v>
      </c>
      <c r="E27" s="28">
        <v>35841</v>
      </c>
      <c r="F27" s="38">
        <f t="shared" si="5"/>
        <v>9.2387998144042888E-2</v>
      </c>
      <c r="G27" s="33">
        <f>E27-'24년 5월'!E27</f>
        <v>-43</v>
      </c>
      <c r="H27" s="51">
        <v>17585</v>
      </c>
      <c r="I27" s="38">
        <f t="shared" si="6"/>
        <v>4.5329174614631131E-2</v>
      </c>
      <c r="J27" s="51">
        <v>18256</v>
      </c>
      <c r="K27" s="38">
        <f t="shared" si="7"/>
        <v>4.7058823529411764E-2</v>
      </c>
      <c r="L27" s="28">
        <f t="shared" si="8"/>
        <v>125</v>
      </c>
      <c r="M27" s="11">
        <f t="shared" si="4"/>
        <v>2.1356569280710745E-2</v>
      </c>
      <c r="N27" s="96">
        <f>L27-'24년 5월'!L27</f>
        <v>1</v>
      </c>
      <c r="O27" s="73">
        <v>39</v>
      </c>
      <c r="P27" s="73">
        <v>86</v>
      </c>
      <c r="Q27" s="35">
        <v>12775</v>
      </c>
      <c r="R27" s="33">
        <f>Q27-'24년 5월'!Q27</f>
        <v>7</v>
      </c>
      <c r="S27" s="73">
        <v>2.81</v>
      </c>
      <c r="T27" s="123"/>
      <c r="U27" s="48"/>
      <c r="V27" s="28">
        <v>35257</v>
      </c>
      <c r="W27" s="35">
        <v>12436</v>
      </c>
    </row>
    <row r="28" spans="1:23">
      <c r="A28" s="77"/>
      <c r="B28" s="115" t="s">
        <v>31</v>
      </c>
      <c r="C28" s="10">
        <f t="shared" si="2"/>
        <v>21810</v>
      </c>
      <c r="D28" s="20">
        <f t="shared" si="3"/>
        <v>5.5384427859306792E-2</v>
      </c>
      <c r="E28" s="28">
        <v>21703</v>
      </c>
      <c r="F28" s="38">
        <f t="shared" si="5"/>
        <v>5.5944218178068772E-2</v>
      </c>
      <c r="G28" s="33">
        <f>E28-'24년 5월'!E28</f>
        <v>-27</v>
      </c>
      <c r="H28" s="51">
        <v>10573</v>
      </c>
      <c r="I28" s="38">
        <f t="shared" si="6"/>
        <v>2.7254214569263288E-2</v>
      </c>
      <c r="J28" s="51">
        <v>11130</v>
      </c>
      <c r="K28" s="38">
        <f t="shared" si="7"/>
        <v>2.8690003608805484E-2</v>
      </c>
      <c r="L28" s="28">
        <f t="shared" si="8"/>
        <v>107</v>
      </c>
      <c r="M28" s="11">
        <f t="shared" si="4"/>
        <v>1.8281223304288399E-2</v>
      </c>
      <c r="N28" s="96">
        <f>L28-'24년 5월'!L28</f>
        <v>-2</v>
      </c>
      <c r="O28" s="73">
        <v>34</v>
      </c>
      <c r="P28" s="73">
        <v>73</v>
      </c>
      <c r="Q28" s="35">
        <v>8381</v>
      </c>
      <c r="R28" s="33">
        <f>Q28-'24년 5월'!Q28</f>
        <v>-14</v>
      </c>
      <c r="S28" s="73">
        <v>2.59</v>
      </c>
      <c r="T28" s="123"/>
      <c r="U28" s="48"/>
      <c r="V28" s="28">
        <v>21830</v>
      </c>
      <c r="W28" s="35">
        <v>8390</v>
      </c>
    </row>
    <row r="29" spans="1:23">
      <c r="A29" s="77"/>
      <c r="B29" s="115" t="s">
        <v>36</v>
      </c>
      <c r="C29" s="10">
        <f t="shared" si="2"/>
        <v>28844</v>
      </c>
      <c r="D29" s="20">
        <f>C29/$C$8</f>
        <v>7.3246604180368879E-2</v>
      </c>
      <c r="E29" s="28">
        <v>28565</v>
      </c>
      <c r="F29" s="38">
        <f t="shared" si="5"/>
        <v>7.3632520492859718E-2</v>
      </c>
      <c r="G29" s="33">
        <f>E29-'24년 5월'!E29</f>
        <v>52</v>
      </c>
      <c r="H29" s="51">
        <v>14027</v>
      </c>
      <c r="I29" s="38">
        <f t="shared" si="6"/>
        <v>3.615765324534722E-2</v>
      </c>
      <c r="J29" s="51">
        <v>14538</v>
      </c>
      <c r="K29" s="38">
        <f t="shared" si="7"/>
        <v>3.7474867247512499E-2</v>
      </c>
      <c r="L29" s="28">
        <f t="shared" si="8"/>
        <v>279</v>
      </c>
      <c r="M29" s="11">
        <f t="shared" si="4"/>
        <v>4.7667862634546386E-2</v>
      </c>
      <c r="N29" s="96">
        <f>L29-'24년 5월'!L29</f>
        <v>2</v>
      </c>
      <c r="O29" s="73">
        <v>121</v>
      </c>
      <c r="P29" s="73">
        <v>158</v>
      </c>
      <c r="Q29" s="35">
        <v>12042</v>
      </c>
      <c r="R29" s="33">
        <f>Q29-'24년 5월'!Q29</f>
        <v>51</v>
      </c>
      <c r="S29" s="73">
        <v>2.37</v>
      </c>
      <c r="T29" s="123"/>
      <c r="U29" s="48"/>
      <c r="V29" s="28">
        <v>28108</v>
      </c>
      <c r="W29" s="35">
        <v>11868</v>
      </c>
    </row>
    <row r="30" spans="1:23">
      <c r="A30" s="77"/>
      <c r="B30" s="115" t="s">
        <v>32</v>
      </c>
      <c r="C30" s="10">
        <f t="shared" si="2"/>
        <v>18941</v>
      </c>
      <c r="D30" s="20">
        <f t="shared" si="3"/>
        <v>4.8098874281665746E-2</v>
      </c>
      <c r="E30" s="28">
        <v>18876</v>
      </c>
      <c r="F30" s="38">
        <f t="shared" si="5"/>
        <v>4.8657008815796259E-2</v>
      </c>
      <c r="G30" s="33">
        <f>E30-'24년 5월'!E30</f>
        <v>-12</v>
      </c>
      <c r="H30" s="51">
        <v>9274</v>
      </c>
      <c r="I30" s="38">
        <f t="shared" si="6"/>
        <v>2.3905758622467393E-2</v>
      </c>
      <c r="J30" s="51">
        <v>9602</v>
      </c>
      <c r="K30" s="38">
        <f t="shared" si="7"/>
        <v>2.4751250193328866E-2</v>
      </c>
      <c r="L30" s="28">
        <f t="shared" si="8"/>
        <v>65</v>
      </c>
      <c r="M30" s="11">
        <f t="shared" si="4"/>
        <v>1.1105416025969587E-2</v>
      </c>
      <c r="N30" s="96">
        <f>L30-'24년 5월'!L30</f>
        <v>3</v>
      </c>
      <c r="O30" s="73">
        <v>22</v>
      </c>
      <c r="P30" s="73">
        <v>43</v>
      </c>
      <c r="Q30" s="35">
        <v>6944</v>
      </c>
      <c r="R30" s="33">
        <f>Q30-'24년 5월'!Q30</f>
        <v>-11</v>
      </c>
      <c r="S30" s="73">
        <v>2.72</v>
      </c>
      <c r="T30" s="123"/>
      <c r="U30" s="48"/>
      <c r="V30" s="28">
        <v>18980</v>
      </c>
      <c r="W30" s="35">
        <v>6924</v>
      </c>
    </row>
    <row r="31" spans="1:23">
      <c r="A31" s="77"/>
      <c r="B31" s="124" t="s">
        <v>45</v>
      </c>
      <c r="C31" s="10">
        <f t="shared" si="2"/>
        <v>11330</v>
      </c>
      <c r="D31" s="20">
        <f t="shared" si="3"/>
        <v>2.8771461148369828E-2</v>
      </c>
      <c r="E31" s="28">
        <v>11291</v>
      </c>
      <c r="F31" s="38">
        <f t="shared" si="5"/>
        <v>2.9105016239624686E-2</v>
      </c>
      <c r="G31" s="33">
        <f>E31-'24년 5월'!E31</f>
        <v>33</v>
      </c>
      <c r="H31" s="51">
        <v>5569</v>
      </c>
      <c r="I31" s="38">
        <f t="shared" si="6"/>
        <v>1.4355312677218127E-2</v>
      </c>
      <c r="J31" s="51">
        <v>5722</v>
      </c>
      <c r="K31" s="38">
        <f t="shared" si="7"/>
        <v>1.4749703562406558E-2</v>
      </c>
      <c r="L31" s="28">
        <f t="shared" si="8"/>
        <v>39</v>
      </c>
      <c r="M31" s="11">
        <f t="shared" si="4"/>
        <v>6.6632496155817527E-3</v>
      </c>
      <c r="N31" s="96">
        <f>L31-'24년 5월'!L31</f>
        <v>1</v>
      </c>
      <c r="O31" s="73">
        <v>12</v>
      </c>
      <c r="P31" s="73">
        <v>27</v>
      </c>
      <c r="Q31" s="35">
        <v>4403</v>
      </c>
      <c r="R31" s="33">
        <f>Q31-'24년 5월'!Q31</f>
        <v>11</v>
      </c>
      <c r="S31" s="73">
        <v>2.56</v>
      </c>
      <c r="T31" s="122"/>
      <c r="U31" s="48"/>
      <c r="V31" s="28">
        <v>11256</v>
      </c>
      <c r="W31" s="35">
        <v>4368</v>
      </c>
    </row>
    <row r="32" spans="1:23" ht="17.25" thickBot="1">
      <c r="A32" s="78"/>
      <c r="B32" s="125" t="s">
        <v>46</v>
      </c>
      <c r="C32" s="126">
        <f t="shared" si="2"/>
        <v>28388</v>
      </c>
      <c r="D32" s="127">
        <f t="shared" si="3"/>
        <v>7.208863539981665E-2</v>
      </c>
      <c r="E32" s="128">
        <v>28311</v>
      </c>
      <c r="F32" s="129">
        <f t="shared" si="5"/>
        <v>7.2977780069082843E-2</v>
      </c>
      <c r="G32" s="130">
        <f>E32-'24년 5월'!E32</f>
        <v>-23</v>
      </c>
      <c r="H32" s="131">
        <v>13581</v>
      </c>
      <c r="I32" s="129">
        <f t="shared" si="6"/>
        <v>3.500799092643192E-2</v>
      </c>
      <c r="J32" s="131">
        <v>14730</v>
      </c>
      <c r="K32" s="129">
        <f t="shared" si="7"/>
        <v>3.7969789142650923E-2</v>
      </c>
      <c r="L32" s="128">
        <f t="shared" si="8"/>
        <v>77</v>
      </c>
      <c r="M32" s="132">
        <f t="shared" si="4"/>
        <v>1.315564667691782E-2</v>
      </c>
      <c r="N32" s="133">
        <f>L32-'24년 5월'!L32</f>
        <v>-2</v>
      </c>
      <c r="O32" s="134">
        <v>27</v>
      </c>
      <c r="P32" s="134">
        <v>50</v>
      </c>
      <c r="Q32" s="135">
        <v>10781</v>
      </c>
      <c r="R32" s="130">
        <f>Q32-'24년 5월'!Q32</f>
        <v>-13</v>
      </c>
      <c r="S32" s="134">
        <v>2.63</v>
      </c>
      <c r="T32" s="136"/>
      <c r="U32" s="48"/>
      <c r="V32" s="28">
        <v>28539</v>
      </c>
      <c r="W32" s="35">
        <v>10819</v>
      </c>
    </row>
    <row r="33" spans="1:21">
      <c r="A33" s="79"/>
      <c r="B33" s="80"/>
      <c r="C33" s="41"/>
      <c r="D33" s="41"/>
      <c r="E33" s="81"/>
      <c r="F33" s="81"/>
      <c r="G33" s="82"/>
      <c r="H33" s="81"/>
      <c r="I33" s="83"/>
      <c r="J33" s="81"/>
      <c r="K33" s="83"/>
      <c r="L33" s="47"/>
      <c r="N33" s="48"/>
      <c r="Q33" s="84"/>
      <c r="R33" s="85"/>
      <c r="S33" s="86"/>
      <c r="T33" s="87"/>
      <c r="U33" s="48"/>
    </row>
    <row r="34" spans="1:21">
      <c r="A34" s="39"/>
      <c r="B34" s="40" t="s">
        <v>66</v>
      </c>
      <c r="E34" s="41"/>
      <c r="F34" s="41"/>
      <c r="G34" s="41"/>
      <c r="H34" s="42"/>
      <c r="I34" s="43"/>
      <c r="J34" s="44"/>
      <c r="K34" s="44"/>
      <c r="Q34" s="45"/>
      <c r="R34" s="46"/>
      <c r="S34" s="47"/>
      <c r="U34" s="48"/>
    </row>
    <row r="35" spans="1:21">
      <c r="A35" s="39"/>
      <c r="B35" s="88"/>
      <c r="E35" s="41"/>
      <c r="F35" s="41"/>
      <c r="G35" s="41"/>
      <c r="H35" s="42"/>
      <c r="I35" s="43"/>
      <c r="J35" s="44"/>
      <c r="K35" s="44"/>
      <c r="Q35" s="45"/>
      <c r="R35" s="46"/>
      <c r="S35" s="47"/>
      <c r="U35" s="48"/>
    </row>
  </sheetData>
  <mergeCells count="12">
    <mergeCell ref="Q6:Q7"/>
    <mergeCell ref="R6:R7"/>
    <mergeCell ref="B2:T2"/>
    <mergeCell ref="B5:B7"/>
    <mergeCell ref="E5:K5"/>
    <mergeCell ref="Q5:R5"/>
    <mergeCell ref="S5:S7"/>
    <mergeCell ref="T5:T7"/>
    <mergeCell ref="C6:C7"/>
    <mergeCell ref="D6:D7"/>
    <mergeCell ref="E6:K6"/>
    <mergeCell ref="L6:P6"/>
  </mergeCells>
  <phoneticPr fontId="2" type="noConversion"/>
  <pageMargins left="0.7" right="0.7" top="0.75" bottom="0.75" header="0.3" footer="0.3"/>
  <pageSetup paperSize="9" orientation="portrait" r:id="rId1"/>
  <ignoredErrors>
    <ignoredError sqref="L8" formula="1"/>
    <ignoredError sqref="L9 L10:L32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C355-CAF6-4AC2-9FDB-C693DA067B9B}">
  <sheetPr>
    <tabColor theme="7"/>
  </sheetPr>
  <dimension ref="A1:X35"/>
  <sheetViews>
    <sheetView zoomScale="130" zoomScaleNormal="130" workbookViewId="0">
      <selection activeCell="F10" sqref="F10"/>
    </sheetView>
  </sheetViews>
  <sheetFormatPr defaultRowHeight="16.5"/>
  <cols>
    <col min="1" max="1" width="1.25" customWidth="1"/>
    <col min="6" max="6" width="10" customWidth="1"/>
    <col min="13" max="13" width="9.875" customWidth="1"/>
    <col min="21" max="21" width="23.75" customWidth="1"/>
    <col min="22" max="23" width="9.625" hidden="1" customWidth="1"/>
  </cols>
  <sheetData>
    <row r="1" spans="1:24">
      <c r="A1" s="39"/>
      <c r="B1" s="52"/>
      <c r="C1" s="1"/>
      <c r="D1" s="1"/>
      <c r="E1" s="53"/>
      <c r="F1" s="53"/>
      <c r="G1" s="53"/>
      <c r="H1" s="53"/>
      <c r="I1" s="53"/>
      <c r="J1" s="53"/>
      <c r="K1" s="53"/>
      <c r="L1" s="2"/>
      <c r="M1" s="2"/>
      <c r="N1" s="2"/>
      <c r="O1" s="2"/>
      <c r="P1" s="2"/>
      <c r="Q1" s="53"/>
      <c r="R1" s="54"/>
      <c r="S1" s="55"/>
      <c r="T1" s="53"/>
      <c r="U1" s="48"/>
    </row>
    <row r="2" spans="1:24" ht="31.5">
      <c r="A2" s="56"/>
      <c r="B2" s="149" t="s">
        <v>63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48"/>
    </row>
    <row r="3" spans="1:24" ht="26.25">
      <c r="A3" s="56"/>
      <c r="B3" s="57"/>
      <c r="C3" s="3"/>
      <c r="D3" s="3"/>
      <c r="E3" s="58"/>
      <c r="F3" s="58"/>
      <c r="G3" s="58"/>
      <c r="H3" s="58"/>
      <c r="I3" s="58"/>
      <c r="J3" s="58"/>
      <c r="K3" s="58"/>
      <c r="L3" s="4"/>
      <c r="M3" s="4"/>
      <c r="O3" s="26"/>
      <c r="P3" s="26"/>
      <c r="Q3" s="58"/>
      <c r="R3" s="59"/>
      <c r="S3" s="60"/>
      <c r="T3" s="58"/>
      <c r="U3" s="48"/>
    </row>
    <row r="4" spans="1:24" ht="18" thickBot="1">
      <c r="A4" s="39"/>
      <c r="B4" s="61" t="s">
        <v>64</v>
      </c>
      <c r="C4" s="5"/>
      <c r="D4" s="5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64"/>
      <c r="S4" s="65"/>
      <c r="T4" s="66" t="s">
        <v>11</v>
      </c>
      <c r="U4" s="48"/>
    </row>
    <row r="5" spans="1:24" ht="16.5" customHeight="1">
      <c r="A5" s="39"/>
      <c r="B5" s="150" t="s">
        <v>12</v>
      </c>
      <c r="C5" s="111"/>
      <c r="D5" s="111"/>
      <c r="E5" s="153"/>
      <c r="F5" s="153"/>
      <c r="G5" s="153"/>
      <c r="H5" s="153"/>
      <c r="I5" s="153"/>
      <c r="J5" s="153"/>
      <c r="K5" s="153"/>
      <c r="L5" s="139"/>
      <c r="M5" s="139"/>
      <c r="N5" s="139"/>
      <c r="O5" s="139"/>
      <c r="P5" s="139"/>
      <c r="Q5" s="154" t="s">
        <v>13</v>
      </c>
      <c r="R5" s="153"/>
      <c r="S5" s="155" t="s">
        <v>37</v>
      </c>
      <c r="T5" s="158" t="s">
        <v>48</v>
      </c>
      <c r="U5" s="48"/>
    </row>
    <row r="6" spans="1:24">
      <c r="A6" s="39"/>
      <c r="B6" s="151"/>
      <c r="C6" s="161" t="s">
        <v>33</v>
      </c>
      <c r="D6" s="163" t="s">
        <v>14</v>
      </c>
      <c r="E6" s="165" t="s">
        <v>15</v>
      </c>
      <c r="F6" s="166"/>
      <c r="G6" s="166"/>
      <c r="H6" s="166"/>
      <c r="I6" s="166"/>
      <c r="J6" s="166"/>
      <c r="K6" s="167"/>
      <c r="L6" s="168" t="s">
        <v>0</v>
      </c>
      <c r="M6" s="166"/>
      <c r="N6" s="166"/>
      <c r="O6" s="166"/>
      <c r="P6" s="167"/>
      <c r="Q6" s="145" t="s">
        <v>16</v>
      </c>
      <c r="R6" s="147" t="s">
        <v>17</v>
      </c>
      <c r="S6" s="156"/>
      <c r="T6" s="159"/>
      <c r="U6" s="48"/>
    </row>
    <row r="7" spans="1:24" ht="29.25" thickBot="1">
      <c r="A7" s="39"/>
      <c r="B7" s="152"/>
      <c r="C7" s="162"/>
      <c r="D7" s="164"/>
      <c r="E7" s="140" t="s">
        <v>18</v>
      </c>
      <c r="F7" s="67" t="s">
        <v>19</v>
      </c>
      <c r="G7" s="68" t="s">
        <v>17</v>
      </c>
      <c r="H7" s="69" t="s">
        <v>20</v>
      </c>
      <c r="I7" s="68" t="s">
        <v>50</v>
      </c>
      <c r="J7" s="69" t="s">
        <v>21</v>
      </c>
      <c r="K7" s="68" t="s">
        <v>49</v>
      </c>
      <c r="L7" s="109" t="s">
        <v>22</v>
      </c>
      <c r="M7" s="68" t="s">
        <v>23</v>
      </c>
      <c r="N7" s="68" t="s">
        <v>17</v>
      </c>
      <c r="O7" s="110" t="s">
        <v>24</v>
      </c>
      <c r="P7" s="109" t="s">
        <v>25</v>
      </c>
      <c r="Q7" s="146"/>
      <c r="R7" s="148"/>
      <c r="S7" s="157"/>
      <c r="T7" s="160"/>
      <c r="U7" s="48"/>
      <c r="V7" s="70" t="s">
        <v>38</v>
      </c>
      <c r="W7" s="70" t="s">
        <v>39</v>
      </c>
    </row>
    <row r="8" spans="1:24" ht="17.25" thickTop="1">
      <c r="A8" s="39"/>
      <c r="B8" s="113" t="s">
        <v>26</v>
      </c>
      <c r="C8" s="8">
        <f>SUM(C9:C32)</f>
        <v>393595</v>
      </c>
      <c r="D8" s="19">
        <f>SUM(D9:D32)</f>
        <v>1.0000000000000004</v>
      </c>
      <c r="E8" s="104">
        <v>387774</v>
      </c>
      <c r="F8" s="19">
        <f>SUM(F9:F32)</f>
        <v>0.99999999999999989</v>
      </c>
      <c r="G8" s="32">
        <f>SUM(G9:G32)</f>
        <v>48</v>
      </c>
      <c r="H8" s="105">
        <v>193044</v>
      </c>
      <c r="I8" s="106">
        <f t="shared" ref="I8:K8" si="0">SUM(I9:I32)</f>
        <v>0.49782605331971719</v>
      </c>
      <c r="J8" s="105">
        <v>194730</v>
      </c>
      <c r="K8" s="106">
        <f t="shared" si="0"/>
        <v>0.50217394668028281</v>
      </c>
      <c r="L8" s="104">
        <f>SUM(O8:P8)</f>
        <v>5821</v>
      </c>
      <c r="M8" s="106">
        <f t="shared" ref="M8" si="1">SUM(M9:M32)</f>
        <v>1</v>
      </c>
      <c r="N8" s="96">
        <f>L8-'24년 4월'!L8</f>
        <v>-19</v>
      </c>
      <c r="O8" s="31">
        <f>SUM(O9:O32)</f>
        <v>3540</v>
      </c>
      <c r="P8" s="31">
        <f>SUM(P9:P32)</f>
        <v>2281</v>
      </c>
      <c r="Q8" s="107">
        <v>162063</v>
      </c>
      <c r="R8" s="32">
        <f>SUM(R9:R32)</f>
        <v>88</v>
      </c>
      <c r="S8" s="108">
        <v>2.39</v>
      </c>
      <c r="T8" s="114"/>
      <c r="U8" s="92"/>
      <c r="V8" s="49">
        <v>386192</v>
      </c>
      <c r="W8" s="34">
        <v>160562</v>
      </c>
      <c r="X8" s="25"/>
    </row>
    <row r="9" spans="1:24">
      <c r="A9" s="39"/>
      <c r="B9" s="115" t="s">
        <v>1</v>
      </c>
      <c r="C9" s="10">
        <f t="shared" ref="C9:C32" si="2">E9+L9</f>
        <v>42272</v>
      </c>
      <c r="D9" s="20">
        <f t="shared" ref="D9:D32" si="3">C9/$C$8</f>
        <v>0.10739973830968381</v>
      </c>
      <c r="E9" s="28">
        <v>40577</v>
      </c>
      <c r="F9" s="38">
        <f>E9/$E$8</f>
        <v>0.1046408475039585</v>
      </c>
      <c r="G9" s="33">
        <f>E9-'24년 4월'!E9</f>
        <v>-152</v>
      </c>
      <c r="H9" s="51">
        <v>21080</v>
      </c>
      <c r="I9" s="38">
        <f>H9/$E$8</f>
        <v>5.4361561115495109E-2</v>
      </c>
      <c r="J9" s="51">
        <v>19497</v>
      </c>
      <c r="K9" s="38">
        <f>J9/$E$8</f>
        <v>5.0279286388463386E-2</v>
      </c>
      <c r="L9" s="28">
        <f>SUM(O9:P9)</f>
        <v>1695</v>
      </c>
      <c r="M9" s="11">
        <f t="shared" ref="M9:M32" si="4">L9/$L$8</f>
        <v>0.29118708125751591</v>
      </c>
      <c r="N9" s="96">
        <f>L9-'24년 4월'!L9</f>
        <v>-33</v>
      </c>
      <c r="O9" s="73">
        <v>880</v>
      </c>
      <c r="P9" s="73">
        <v>815</v>
      </c>
      <c r="Q9" s="35">
        <v>20361</v>
      </c>
      <c r="R9" s="33">
        <f>Q9-'24년 4월'!Q9</f>
        <v>-40</v>
      </c>
      <c r="S9" s="90">
        <v>1.99</v>
      </c>
      <c r="T9" s="116"/>
      <c r="U9" s="48"/>
      <c r="V9" s="28">
        <v>41784</v>
      </c>
      <c r="W9" s="35">
        <v>20662</v>
      </c>
    </row>
    <row r="10" spans="1:24">
      <c r="A10" s="39"/>
      <c r="B10" s="115" t="s">
        <v>2</v>
      </c>
      <c r="C10" s="10">
        <f t="shared" si="2"/>
        <v>2493</v>
      </c>
      <c r="D10" s="20">
        <f t="shared" si="3"/>
        <v>6.3339219248211998E-3</v>
      </c>
      <c r="E10" s="28">
        <v>2404</v>
      </c>
      <c r="F10" s="38">
        <f t="shared" ref="F10:F32" si="5">E10/$E$8</f>
        <v>6.1994873302490625E-3</v>
      </c>
      <c r="G10" s="33">
        <f>E10-'24년 4월'!E10</f>
        <v>-18</v>
      </c>
      <c r="H10" s="51">
        <v>1377</v>
      </c>
      <c r="I10" s="38">
        <f t="shared" ref="I10:I32" si="6">H10/$E$8</f>
        <v>3.5510374599637936E-3</v>
      </c>
      <c r="J10" s="51">
        <v>1027</v>
      </c>
      <c r="K10" s="38">
        <f t="shared" ref="K10:K32" si="7">J10/$E$8</f>
        <v>2.6484498702852694E-3</v>
      </c>
      <c r="L10" s="28">
        <f t="shared" ref="L10:L32" si="8">SUM(O10:P10)</f>
        <v>89</v>
      </c>
      <c r="M10" s="11">
        <f t="shared" si="4"/>
        <v>1.5289469163373991E-2</v>
      </c>
      <c r="N10" s="96">
        <f>L10-'24년 4월'!L10</f>
        <v>3</v>
      </c>
      <c r="O10" s="73">
        <v>58</v>
      </c>
      <c r="P10" s="73">
        <v>31</v>
      </c>
      <c r="Q10" s="35">
        <v>1457</v>
      </c>
      <c r="R10" s="33">
        <f>Q10-'24년 4월'!Q10</f>
        <v>-15</v>
      </c>
      <c r="S10" s="73">
        <v>1.65</v>
      </c>
      <c r="T10" s="116"/>
      <c r="U10" s="48"/>
      <c r="V10" s="28">
        <v>2567</v>
      </c>
      <c r="W10" s="35">
        <v>1558</v>
      </c>
      <c r="X10" s="25"/>
    </row>
    <row r="11" spans="1:24">
      <c r="A11" s="39"/>
      <c r="B11" s="115" t="s">
        <v>3</v>
      </c>
      <c r="C11" s="10">
        <f t="shared" si="2"/>
        <v>2965</v>
      </c>
      <c r="D11" s="20">
        <f t="shared" si="3"/>
        <v>7.5331241504592288E-3</v>
      </c>
      <c r="E11" s="28">
        <v>2773</v>
      </c>
      <c r="F11" s="38">
        <f t="shared" si="5"/>
        <v>7.1510725319387063E-3</v>
      </c>
      <c r="G11" s="33">
        <f>E11-'24년 4월'!E11</f>
        <v>-20</v>
      </c>
      <c r="H11" s="51">
        <v>1454</v>
      </c>
      <c r="I11" s="38">
        <f t="shared" si="6"/>
        <v>3.7496067296930685E-3</v>
      </c>
      <c r="J11" s="51">
        <v>1319</v>
      </c>
      <c r="K11" s="38">
        <f t="shared" si="7"/>
        <v>3.4014658022456378E-3</v>
      </c>
      <c r="L11" s="28">
        <f t="shared" si="8"/>
        <v>192</v>
      </c>
      <c r="M11" s="11">
        <f t="shared" si="4"/>
        <v>3.2984023363683217E-2</v>
      </c>
      <c r="N11" s="96">
        <f>L11-'24년 4월'!L11</f>
        <v>0</v>
      </c>
      <c r="O11" s="73">
        <v>155</v>
      </c>
      <c r="P11" s="73">
        <v>37</v>
      </c>
      <c r="Q11" s="35">
        <v>1636</v>
      </c>
      <c r="R11" s="33">
        <f>Q11-'24년 4월'!Q11</f>
        <v>-4</v>
      </c>
      <c r="S11" s="73">
        <v>1.69</v>
      </c>
      <c r="T11" s="116"/>
      <c r="U11" s="48"/>
      <c r="V11" s="28">
        <v>2905</v>
      </c>
      <c r="W11" s="35">
        <v>1681</v>
      </c>
    </row>
    <row r="12" spans="1:24">
      <c r="A12" s="39"/>
      <c r="B12" s="115" t="s">
        <v>4</v>
      </c>
      <c r="C12" s="10">
        <f t="shared" si="2"/>
        <v>5774</v>
      </c>
      <c r="D12" s="20">
        <f t="shared" si="3"/>
        <v>1.4669901802614363E-2</v>
      </c>
      <c r="E12" s="28">
        <v>5447</v>
      </c>
      <c r="F12" s="38">
        <f t="shared" si="5"/>
        <v>1.404684171708263E-2</v>
      </c>
      <c r="G12" s="33">
        <f>E12-'24년 4월'!E12</f>
        <v>-25</v>
      </c>
      <c r="H12" s="51">
        <v>2993</v>
      </c>
      <c r="I12" s="38">
        <f t="shared" si="6"/>
        <v>7.7184133025937785E-3</v>
      </c>
      <c r="J12" s="51">
        <v>2454</v>
      </c>
      <c r="K12" s="38">
        <f t="shared" si="7"/>
        <v>6.3284284144888518E-3</v>
      </c>
      <c r="L12" s="28">
        <f t="shared" si="8"/>
        <v>327</v>
      </c>
      <c r="M12" s="11">
        <f t="shared" si="4"/>
        <v>5.6175914791272978E-2</v>
      </c>
      <c r="N12" s="96">
        <f>L12-'24년 4월'!L12</f>
        <v>8</v>
      </c>
      <c r="O12" s="73">
        <v>267</v>
      </c>
      <c r="P12" s="73">
        <v>60</v>
      </c>
      <c r="Q12" s="35">
        <v>3068</v>
      </c>
      <c r="R12" s="33">
        <f>Q12-'24년 4월'!Q12</f>
        <v>-11</v>
      </c>
      <c r="S12" s="73">
        <v>1.78</v>
      </c>
      <c r="T12" s="116"/>
      <c r="U12" s="48"/>
      <c r="V12" s="28">
        <v>5701</v>
      </c>
      <c r="W12" s="35">
        <v>3187</v>
      </c>
    </row>
    <row r="13" spans="1:24">
      <c r="A13" s="39"/>
      <c r="B13" s="115" t="s">
        <v>5</v>
      </c>
      <c r="C13" s="10">
        <f t="shared" si="2"/>
        <v>8608</v>
      </c>
      <c r="D13" s="20">
        <f t="shared" si="3"/>
        <v>2.1870196521805409E-2</v>
      </c>
      <c r="E13" s="28">
        <v>8331</v>
      </c>
      <c r="F13" s="38">
        <f t="shared" si="5"/>
        <v>2.148416345603367E-2</v>
      </c>
      <c r="G13" s="33">
        <f>E13-'24년 4월'!E13</f>
        <v>-12</v>
      </c>
      <c r="H13" s="51">
        <v>4449</v>
      </c>
      <c r="I13" s="38">
        <f t="shared" si="6"/>
        <v>1.147317767565644E-2</v>
      </c>
      <c r="J13" s="51">
        <v>3882</v>
      </c>
      <c r="K13" s="38">
        <f t="shared" si="7"/>
        <v>1.001098578037723E-2</v>
      </c>
      <c r="L13" s="28">
        <f t="shared" si="8"/>
        <v>277</v>
      </c>
      <c r="M13" s="11">
        <f t="shared" si="4"/>
        <v>4.758632537364714E-2</v>
      </c>
      <c r="N13" s="96">
        <f>L13-'24년 4월'!L13</f>
        <v>-7</v>
      </c>
      <c r="O13" s="73">
        <v>185</v>
      </c>
      <c r="P13" s="73">
        <v>92</v>
      </c>
      <c r="Q13" s="35">
        <v>4742</v>
      </c>
      <c r="R13" s="33">
        <f>Q13-'24년 4월'!Q13</f>
        <v>-8</v>
      </c>
      <c r="S13" s="73">
        <v>1.76</v>
      </c>
      <c r="T13" s="116"/>
      <c r="U13" s="48"/>
      <c r="V13" s="28">
        <v>8518</v>
      </c>
      <c r="W13" s="35">
        <v>4795</v>
      </c>
    </row>
    <row r="14" spans="1:24">
      <c r="A14" s="39"/>
      <c r="B14" s="115" t="s">
        <v>6</v>
      </c>
      <c r="C14" s="10">
        <f t="shared" si="2"/>
        <v>6998</v>
      </c>
      <c r="D14" s="20">
        <f t="shared" si="3"/>
        <v>1.7779697404692641E-2</v>
      </c>
      <c r="E14" s="28">
        <v>6546</v>
      </c>
      <c r="F14" s="38">
        <f t="shared" si="5"/>
        <v>1.6880966748673197E-2</v>
      </c>
      <c r="G14" s="33">
        <f>E14-'24년 4월'!E14</f>
        <v>14</v>
      </c>
      <c r="H14" s="51">
        <v>3845</v>
      </c>
      <c r="I14" s="38">
        <f t="shared" si="6"/>
        <v>9.9155693780397861E-3</v>
      </c>
      <c r="J14" s="51">
        <v>2701</v>
      </c>
      <c r="K14" s="38">
        <f t="shared" si="7"/>
        <v>6.9653973706334102E-3</v>
      </c>
      <c r="L14" s="28">
        <f t="shared" si="8"/>
        <v>452</v>
      </c>
      <c r="M14" s="11">
        <f t="shared" si="4"/>
        <v>7.7649888335337577E-2</v>
      </c>
      <c r="N14" s="96">
        <f>L14-'24년 4월'!L14</f>
        <v>4</v>
      </c>
      <c r="O14" s="73">
        <v>324</v>
      </c>
      <c r="P14" s="73">
        <v>128</v>
      </c>
      <c r="Q14" s="35">
        <v>4097</v>
      </c>
      <c r="R14" s="33">
        <f>Q14-'24년 4월'!Q14</f>
        <v>2</v>
      </c>
      <c r="S14" s="90">
        <v>1.6</v>
      </c>
      <c r="T14" s="116"/>
      <c r="U14" s="48"/>
      <c r="V14" s="28">
        <v>6785</v>
      </c>
      <c r="W14" s="35">
        <v>4218</v>
      </c>
    </row>
    <row r="15" spans="1:24">
      <c r="A15" s="39"/>
      <c r="B15" s="115" t="s">
        <v>7</v>
      </c>
      <c r="C15" s="10">
        <f t="shared" si="2"/>
        <v>7065</v>
      </c>
      <c r="D15" s="20">
        <f t="shared" si="3"/>
        <v>1.7949923144348887E-2</v>
      </c>
      <c r="E15" s="28">
        <v>6833</v>
      </c>
      <c r="F15" s="38">
        <f t="shared" si="5"/>
        <v>1.7621088572209585E-2</v>
      </c>
      <c r="G15" s="33">
        <f>E15-'24년 4월'!E15</f>
        <v>-10</v>
      </c>
      <c r="H15" s="51">
        <v>3733</v>
      </c>
      <c r="I15" s="38">
        <f t="shared" si="6"/>
        <v>9.6267413493426584E-3</v>
      </c>
      <c r="J15" s="51">
        <v>3100</v>
      </c>
      <c r="K15" s="38">
        <f t="shared" si="7"/>
        <v>7.9943472228669269E-3</v>
      </c>
      <c r="L15" s="28">
        <f t="shared" si="8"/>
        <v>232</v>
      </c>
      <c r="M15" s="11">
        <f t="shared" si="4"/>
        <v>3.9855694897783886E-2</v>
      </c>
      <c r="N15" s="96">
        <f>L15-'24년 4월'!L15</f>
        <v>-3</v>
      </c>
      <c r="O15" s="73">
        <v>172</v>
      </c>
      <c r="P15" s="73">
        <v>60</v>
      </c>
      <c r="Q15" s="35">
        <v>3716</v>
      </c>
      <c r="R15" s="33">
        <f>Q15-'24년 4월'!Q15</f>
        <v>-5</v>
      </c>
      <c r="S15" s="73">
        <v>1.84</v>
      </c>
      <c r="T15" s="116"/>
      <c r="U15" s="48"/>
      <c r="V15" s="28">
        <v>7041</v>
      </c>
      <c r="W15" s="35">
        <v>3821</v>
      </c>
    </row>
    <row r="16" spans="1:24">
      <c r="A16" s="39"/>
      <c r="B16" s="115" t="s">
        <v>8</v>
      </c>
      <c r="C16" s="10">
        <f t="shared" si="2"/>
        <v>5733</v>
      </c>
      <c r="D16" s="20">
        <f t="shared" si="3"/>
        <v>1.4565733812675466E-2</v>
      </c>
      <c r="E16" s="28">
        <v>5195</v>
      </c>
      <c r="F16" s="38">
        <f t="shared" si="5"/>
        <v>1.3396978652514093E-2</v>
      </c>
      <c r="G16" s="33">
        <f>E16-'24년 4월'!E16</f>
        <v>-12</v>
      </c>
      <c r="H16" s="51">
        <v>2749</v>
      </c>
      <c r="I16" s="38">
        <f t="shared" si="6"/>
        <v>7.0891808115036078E-3</v>
      </c>
      <c r="J16" s="51">
        <v>2446</v>
      </c>
      <c r="K16" s="38">
        <f t="shared" si="7"/>
        <v>6.3077978410104856E-3</v>
      </c>
      <c r="L16" s="28">
        <f t="shared" si="8"/>
        <v>538</v>
      </c>
      <c r="M16" s="11">
        <f t="shared" si="4"/>
        <v>9.2423982133654006E-2</v>
      </c>
      <c r="N16" s="96">
        <f>L16-'24년 4월'!L16</f>
        <v>5</v>
      </c>
      <c r="O16" s="73">
        <v>451</v>
      </c>
      <c r="P16" s="73">
        <v>87</v>
      </c>
      <c r="Q16" s="35">
        <v>2935</v>
      </c>
      <c r="R16" s="33">
        <f>Q16-'24년 4월'!Q16</f>
        <v>-5</v>
      </c>
      <c r="S16" s="73">
        <v>1.77</v>
      </c>
      <c r="T16" s="116"/>
      <c r="U16" s="48"/>
      <c r="V16" s="28">
        <v>5397</v>
      </c>
      <c r="W16" s="35">
        <v>3039</v>
      </c>
    </row>
    <row r="17" spans="1:23">
      <c r="A17" s="39"/>
      <c r="B17" s="115" t="s">
        <v>9</v>
      </c>
      <c r="C17" s="10">
        <f t="shared" si="2"/>
        <v>3407</v>
      </c>
      <c r="D17" s="20">
        <f t="shared" si="3"/>
        <v>8.6561058956541627E-3</v>
      </c>
      <c r="E17" s="28">
        <v>3118</v>
      </c>
      <c r="F17" s="38">
        <f t="shared" si="5"/>
        <v>8.0407660131932516E-3</v>
      </c>
      <c r="G17" s="33">
        <f>E17-'24년 4월'!E17</f>
        <v>3</v>
      </c>
      <c r="H17" s="51">
        <v>1662</v>
      </c>
      <c r="I17" s="38">
        <f t="shared" si="6"/>
        <v>4.2860016401305911E-3</v>
      </c>
      <c r="J17" s="51">
        <v>1456</v>
      </c>
      <c r="K17" s="38">
        <f t="shared" si="7"/>
        <v>3.75476437306266E-3</v>
      </c>
      <c r="L17" s="28">
        <f t="shared" si="8"/>
        <v>289</v>
      </c>
      <c r="M17" s="11">
        <f t="shared" si="4"/>
        <v>4.9647826833877341E-2</v>
      </c>
      <c r="N17" s="96">
        <f>L17-'24년 4월'!L17</f>
        <v>14</v>
      </c>
      <c r="O17" s="73">
        <v>246</v>
      </c>
      <c r="P17" s="73">
        <v>43</v>
      </c>
      <c r="Q17" s="35">
        <v>1844</v>
      </c>
      <c r="R17" s="33">
        <f>Q17-'24년 4월'!Q17</f>
        <v>0</v>
      </c>
      <c r="S17" s="73">
        <v>1.69</v>
      </c>
      <c r="T17" s="116"/>
      <c r="U17" s="48"/>
      <c r="V17" s="28">
        <v>3214</v>
      </c>
      <c r="W17" s="35">
        <v>1896</v>
      </c>
    </row>
    <row r="18" spans="1:23">
      <c r="A18" s="39"/>
      <c r="B18" s="115" t="s">
        <v>10</v>
      </c>
      <c r="C18" s="10">
        <f t="shared" si="2"/>
        <v>2369</v>
      </c>
      <c r="D18" s="20">
        <f t="shared" si="3"/>
        <v>6.0188772723230735E-3</v>
      </c>
      <c r="E18" s="28">
        <v>2087</v>
      </c>
      <c r="F18" s="38">
        <f t="shared" si="5"/>
        <v>5.3820008561687996E-3</v>
      </c>
      <c r="G18" s="33">
        <f>E18-'24년 4월'!E18</f>
        <v>-2</v>
      </c>
      <c r="H18" s="51">
        <v>1118</v>
      </c>
      <c r="I18" s="38">
        <f t="shared" si="6"/>
        <v>2.8831226436016855E-3</v>
      </c>
      <c r="J18" s="51">
        <v>969</v>
      </c>
      <c r="K18" s="38">
        <f t="shared" si="7"/>
        <v>2.498878212567114E-3</v>
      </c>
      <c r="L18" s="28">
        <f t="shared" si="8"/>
        <v>282</v>
      </c>
      <c r="M18" s="11">
        <f t="shared" si="4"/>
        <v>4.8445284315409724E-2</v>
      </c>
      <c r="N18" s="96">
        <f>L18-'24년 4월'!L18</f>
        <v>-6</v>
      </c>
      <c r="O18" s="73">
        <v>250</v>
      </c>
      <c r="P18" s="73">
        <v>32</v>
      </c>
      <c r="Q18" s="35">
        <v>1109</v>
      </c>
      <c r="R18" s="33">
        <f>Q18-'24년 4월'!Q18</f>
        <v>-1</v>
      </c>
      <c r="S18" s="73">
        <v>1.88</v>
      </c>
      <c r="T18" s="116"/>
      <c r="U18" s="48"/>
      <c r="V18" s="28">
        <v>2187</v>
      </c>
      <c r="W18" s="35">
        <v>1146</v>
      </c>
    </row>
    <row r="19" spans="1:23">
      <c r="A19" s="39"/>
      <c r="B19" s="115" t="s">
        <v>27</v>
      </c>
      <c r="C19" s="10">
        <f t="shared" si="2"/>
        <v>18193</v>
      </c>
      <c r="D19" s="20">
        <f t="shared" si="3"/>
        <v>4.6222640023374284E-2</v>
      </c>
      <c r="E19" s="28">
        <v>18134</v>
      </c>
      <c r="F19" s="38">
        <f t="shared" si="5"/>
        <v>4.676435243208673E-2</v>
      </c>
      <c r="G19" s="33">
        <f>E19-'24년 4월'!E19</f>
        <v>-53</v>
      </c>
      <c r="H19" s="51">
        <v>8951</v>
      </c>
      <c r="I19" s="38">
        <f t="shared" si="6"/>
        <v>2.3083032900607054E-2</v>
      </c>
      <c r="J19" s="51">
        <v>9183</v>
      </c>
      <c r="K19" s="38">
        <f t="shared" si="7"/>
        <v>2.3681319531479676E-2</v>
      </c>
      <c r="L19" s="28">
        <f t="shared" si="8"/>
        <v>59</v>
      </c>
      <c r="M19" s="11">
        <f t="shared" si="4"/>
        <v>1.0135715512798488E-2</v>
      </c>
      <c r="N19" s="96">
        <f>L19-'24년 4월'!L19</f>
        <v>1</v>
      </c>
      <c r="O19" s="73">
        <v>23</v>
      </c>
      <c r="P19" s="73">
        <v>36</v>
      </c>
      <c r="Q19" s="35">
        <v>6335</v>
      </c>
      <c r="R19" s="33">
        <f>Q19-'24년 4월'!Q19</f>
        <v>-10</v>
      </c>
      <c r="S19" s="73">
        <v>2.86</v>
      </c>
      <c r="T19" s="117"/>
      <c r="U19" s="48"/>
      <c r="V19" s="28">
        <v>18422</v>
      </c>
      <c r="W19" s="35">
        <v>6404</v>
      </c>
    </row>
    <row r="20" spans="1:23">
      <c r="A20" s="39"/>
      <c r="B20" s="115" t="s">
        <v>34</v>
      </c>
      <c r="C20" s="10">
        <f t="shared" si="2"/>
        <v>26519</v>
      </c>
      <c r="D20" s="20">
        <f t="shared" si="3"/>
        <v>6.737636402901459E-2</v>
      </c>
      <c r="E20" s="28">
        <v>26451</v>
      </c>
      <c r="F20" s="38">
        <f t="shared" si="5"/>
        <v>6.8212412384533253E-2</v>
      </c>
      <c r="G20" s="33">
        <f>E20-'24년 4월'!E20</f>
        <v>-47</v>
      </c>
      <c r="H20" s="51">
        <v>12801</v>
      </c>
      <c r="I20" s="38">
        <f t="shared" si="6"/>
        <v>3.3011496387070821E-2</v>
      </c>
      <c r="J20" s="51">
        <v>13650</v>
      </c>
      <c r="K20" s="38">
        <f t="shared" si="7"/>
        <v>3.5200915997462438E-2</v>
      </c>
      <c r="L20" s="28">
        <f t="shared" si="8"/>
        <v>68</v>
      </c>
      <c r="M20" s="11">
        <f t="shared" si="4"/>
        <v>1.1681841607971139E-2</v>
      </c>
      <c r="N20" s="96">
        <f>L20-'24년 4월'!L20</f>
        <v>-2</v>
      </c>
      <c r="O20" s="73">
        <v>20</v>
      </c>
      <c r="P20" s="73">
        <v>48</v>
      </c>
      <c r="Q20" s="35">
        <v>9684</v>
      </c>
      <c r="R20" s="33">
        <f>Q20-'24년 4월'!Q20</f>
        <v>-18</v>
      </c>
      <c r="S20" s="73">
        <v>2.73</v>
      </c>
      <c r="T20" s="117"/>
      <c r="U20" s="48"/>
      <c r="V20" s="28">
        <v>26600</v>
      </c>
      <c r="W20" s="35">
        <v>9752</v>
      </c>
    </row>
    <row r="21" spans="1:23">
      <c r="A21" s="39"/>
      <c r="B21" s="118" t="s">
        <v>65</v>
      </c>
      <c r="C21" s="10">
        <f t="shared" si="2"/>
        <v>13226</v>
      </c>
      <c r="D21" s="20">
        <f t="shared" si="3"/>
        <v>3.3603069144679178E-2</v>
      </c>
      <c r="E21" s="29">
        <v>13083</v>
      </c>
      <c r="F21" s="38">
        <f t="shared" si="5"/>
        <v>3.3738724102183232E-2</v>
      </c>
      <c r="G21" s="33">
        <f>E21-'24년 4월'!E21</f>
        <v>-33</v>
      </c>
      <c r="H21" s="51">
        <v>6406</v>
      </c>
      <c r="I21" s="38">
        <f t="shared" si="6"/>
        <v>1.6519931712801788E-2</v>
      </c>
      <c r="J21" s="51">
        <v>6677</v>
      </c>
      <c r="K21" s="38">
        <f t="shared" si="7"/>
        <v>1.7218792389381444E-2</v>
      </c>
      <c r="L21" s="28">
        <f t="shared" si="8"/>
        <v>143</v>
      </c>
      <c r="M21" s="11">
        <f t="shared" si="4"/>
        <v>2.4566225734409895E-2</v>
      </c>
      <c r="N21" s="96">
        <f>L21-'24년 4월'!L21</f>
        <v>2</v>
      </c>
      <c r="O21" s="73">
        <v>64</v>
      </c>
      <c r="P21" s="73">
        <v>79</v>
      </c>
      <c r="Q21" s="36">
        <v>5946</v>
      </c>
      <c r="R21" s="33">
        <f>Q21-'24년 4월'!Q21</f>
        <v>2</v>
      </c>
      <c r="S21" s="74">
        <v>2.2000000000000002</v>
      </c>
      <c r="T21" s="119"/>
      <c r="U21" s="48"/>
      <c r="V21" s="29">
        <v>13375</v>
      </c>
      <c r="W21" s="36">
        <v>6073</v>
      </c>
    </row>
    <row r="22" spans="1:23">
      <c r="A22" s="39"/>
      <c r="B22" s="118" t="s">
        <v>41</v>
      </c>
      <c r="C22" s="10">
        <f t="shared" si="2"/>
        <v>25040</v>
      </c>
      <c r="D22" s="20">
        <f t="shared" si="3"/>
        <v>6.361869434317001E-2</v>
      </c>
      <c r="E22" s="29">
        <v>24887</v>
      </c>
      <c r="F22" s="38">
        <f t="shared" si="5"/>
        <v>6.417913526951266E-2</v>
      </c>
      <c r="G22" s="33">
        <f>E22-'24년 4월'!E22</f>
        <v>-31</v>
      </c>
      <c r="H22" s="51">
        <v>11977</v>
      </c>
      <c r="I22" s="38">
        <f t="shared" si="6"/>
        <v>3.0886547318799095E-2</v>
      </c>
      <c r="J22" s="51">
        <v>12910</v>
      </c>
      <c r="K22" s="38">
        <f t="shared" si="7"/>
        <v>3.3292587950713562E-2</v>
      </c>
      <c r="L22" s="28">
        <f t="shared" si="8"/>
        <v>153</v>
      </c>
      <c r="M22" s="11">
        <f t="shared" si="4"/>
        <v>2.6284143617935064E-2</v>
      </c>
      <c r="N22" s="96">
        <f>L22-'24년 4월'!L22</f>
        <v>-3</v>
      </c>
      <c r="O22" s="73">
        <v>59</v>
      </c>
      <c r="P22" s="73">
        <v>94</v>
      </c>
      <c r="Q22" s="36">
        <v>10198</v>
      </c>
      <c r="R22" s="33">
        <f>Q22-'24년 4월'!Q22</f>
        <v>10</v>
      </c>
      <c r="S22" s="74">
        <v>2.44</v>
      </c>
      <c r="T22" s="119"/>
      <c r="U22" s="48"/>
      <c r="V22" s="29">
        <v>25473</v>
      </c>
      <c r="W22" s="36">
        <v>10280</v>
      </c>
    </row>
    <row r="23" spans="1:23">
      <c r="A23" s="39"/>
      <c r="B23" s="118" t="s">
        <v>42</v>
      </c>
      <c r="C23" s="10">
        <f t="shared" si="2"/>
        <v>11288</v>
      </c>
      <c r="D23" s="20">
        <f t="shared" si="3"/>
        <v>2.8679226108055234E-2</v>
      </c>
      <c r="E23" s="29">
        <v>11225</v>
      </c>
      <c r="F23" s="38">
        <f t="shared" si="5"/>
        <v>2.8947273411832664E-2</v>
      </c>
      <c r="G23" s="33">
        <f>E23-'24년 4월'!E23</f>
        <v>14</v>
      </c>
      <c r="H23" s="51">
        <v>5533</v>
      </c>
      <c r="I23" s="38">
        <f t="shared" si="6"/>
        <v>1.4268620381975067E-2</v>
      </c>
      <c r="J23" s="51">
        <v>5692</v>
      </c>
      <c r="K23" s="38">
        <f t="shared" si="7"/>
        <v>1.4678653029857597E-2</v>
      </c>
      <c r="L23" s="28">
        <f t="shared" si="8"/>
        <v>63</v>
      </c>
      <c r="M23" s="11">
        <f t="shared" si="4"/>
        <v>1.0822882666208556E-2</v>
      </c>
      <c r="N23" s="96">
        <f>L23-'24년 4월'!L23</f>
        <v>4</v>
      </c>
      <c r="O23" s="73">
        <v>27</v>
      </c>
      <c r="P23" s="73">
        <v>36</v>
      </c>
      <c r="Q23" s="36">
        <v>5319</v>
      </c>
      <c r="R23" s="33">
        <f>Q23-'24년 4월'!Q23</f>
        <v>11</v>
      </c>
      <c r="S23" s="74">
        <v>2.11</v>
      </c>
      <c r="T23" s="119"/>
      <c r="U23" s="48"/>
      <c r="V23" s="29">
        <v>11235</v>
      </c>
      <c r="W23" s="36">
        <v>5323</v>
      </c>
    </row>
    <row r="24" spans="1:23">
      <c r="A24" s="39"/>
      <c r="B24" s="115" t="s">
        <v>35</v>
      </c>
      <c r="C24" s="10">
        <f t="shared" si="2"/>
        <v>14989</v>
      </c>
      <c r="D24" s="20">
        <f t="shared" si="3"/>
        <v>3.8082292712051727E-2</v>
      </c>
      <c r="E24" s="28">
        <v>14901</v>
      </c>
      <c r="F24" s="38">
        <f t="shared" si="5"/>
        <v>3.8427021925141962E-2</v>
      </c>
      <c r="G24" s="33">
        <f>E24-'24년 4월'!E24</f>
        <v>559</v>
      </c>
      <c r="H24" s="51">
        <v>7245</v>
      </c>
      <c r="I24" s="38">
        <f t="shared" si="6"/>
        <v>1.868356310634545E-2</v>
      </c>
      <c r="J24" s="51">
        <v>7656</v>
      </c>
      <c r="K24" s="38">
        <f t="shared" si="7"/>
        <v>1.9743458818796515E-2</v>
      </c>
      <c r="L24" s="28">
        <f t="shared" si="8"/>
        <v>88</v>
      </c>
      <c r="M24" s="11">
        <f t="shared" si="4"/>
        <v>1.5117677375021473E-2</v>
      </c>
      <c r="N24" s="96">
        <f>L24-'24년 4월'!L24</f>
        <v>2</v>
      </c>
      <c r="O24" s="73">
        <v>50</v>
      </c>
      <c r="P24" s="73">
        <v>38</v>
      </c>
      <c r="Q24" s="35">
        <v>5665</v>
      </c>
      <c r="R24" s="33">
        <f>Q24-'24년 4월'!Q24</f>
        <v>252</v>
      </c>
      <c r="S24" s="73">
        <v>2.63</v>
      </c>
      <c r="T24" s="117"/>
      <c r="U24" s="48"/>
      <c r="V24" s="28">
        <v>8925</v>
      </c>
      <c r="W24" s="35">
        <v>3139</v>
      </c>
    </row>
    <row r="25" spans="1:23">
      <c r="A25" s="39"/>
      <c r="B25" s="120" t="s">
        <v>28</v>
      </c>
      <c r="C25" s="10">
        <f t="shared" si="2"/>
        <v>23415</v>
      </c>
      <c r="D25" s="20">
        <f t="shared" si="3"/>
        <v>5.9490084985835696E-2</v>
      </c>
      <c r="E25" s="30">
        <v>23352</v>
      </c>
      <c r="F25" s="38">
        <f t="shared" si="5"/>
        <v>6.0220643983351127E-2</v>
      </c>
      <c r="G25" s="33">
        <f>E25-'24년 4월'!E25</f>
        <v>-12</v>
      </c>
      <c r="H25" s="51">
        <v>11544</v>
      </c>
      <c r="I25" s="38">
        <f t="shared" si="6"/>
        <v>2.976991752928252E-2</v>
      </c>
      <c r="J25" s="51">
        <v>11808</v>
      </c>
      <c r="K25" s="38">
        <f t="shared" si="7"/>
        <v>3.0450726454068607E-2</v>
      </c>
      <c r="L25" s="28">
        <f t="shared" si="8"/>
        <v>63</v>
      </c>
      <c r="M25" s="11">
        <f t="shared" si="4"/>
        <v>1.0822882666208556E-2</v>
      </c>
      <c r="N25" s="96">
        <f>L25-'24년 4월'!L25</f>
        <v>-2</v>
      </c>
      <c r="O25" s="73">
        <v>24</v>
      </c>
      <c r="P25" s="73">
        <v>39</v>
      </c>
      <c r="Q25" s="37">
        <v>7915</v>
      </c>
      <c r="R25" s="33">
        <f>Q25-'24년 4월'!Q25</f>
        <v>-6</v>
      </c>
      <c r="S25" s="75">
        <v>2.95</v>
      </c>
      <c r="T25" s="121"/>
      <c r="U25" s="48"/>
      <c r="V25" s="30">
        <v>23623</v>
      </c>
      <c r="W25" s="37">
        <v>7957</v>
      </c>
    </row>
    <row r="26" spans="1:23">
      <c r="A26" s="76"/>
      <c r="B26" s="115" t="s">
        <v>29</v>
      </c>
      <c r="C26" s="10">
        <f t="shared" si="2"/>
        <v>27945</v>
      </c>
      <c r="D26" s="20">
        <f t="shared" si="3"/>
        <v>7.0999377532743047E-2</v>
      </c>
      <c r="E26" s="28">
        <v>27823</v>
      </c>
      <c r="F26" s="38">
        <f t="shared" si="5"/>
        <v>7.1750555736073071E-2</v>
      </c>
      <c r="G26" s="33">
        <f>E26-'24년 4월'!E26</f>
        <v>-20</v>
      </c>
      <c r="H26" s="51">
        <v>13527</v>
      </c>
      <c r="I26" s="38">
        <f t="shared" si="6"/>
        <v>3.4883720930232558E-2</v>
      </c>
      <c r="J26" s="51">
        <v>14296</v>
      </c>
      <c r="K26" s="38">
        <f t="shared" si="7"/>
        <v>3.6866834805840513E-2</v>
      </c>
      <c r="L26" s="28">
        <f t="shared" si="8"/>
        <v>122</v>
      </c>
      <c r="M26" s="11">
        <f t="shared" si="4"/>
        <v>2.0958598179007044E-2</v>
      </c>
      <c r="N26" s="96">
        <f>L26-'24년 4월'!L26</f>
        <v>-1</v>
      </c>
      <c r="O26" s="73">
        <v>34</v>
      </c>
      <c r="P26" s="73">
        <v>88</v>
      </c>
      <c r="Q26" s="35">
        <v>10741</v>
      </c>
      <c r="R26" s="33">
        <f>Q26-'24년 4월'!Q26</f>
        <v>-6</v>
      </c>
      <c r="S26" s="90">
        <v>2.59</v>
      </c>
      <c r="T26" s="122"/>
      <c r="U26" s="48"/>
      <c r="V26" s="28">
        <v>28470</v>
      </c>
      <c r="W26" s="35">
        <v>10826</v>
      </c>
    </row>
    <row r="27" spans="1:23">
      <c r="A27" s="77"/>
      <c r="B27" s="115" t="s">
        <v>30</v>
      </c>
      <c r="C27" s="10">
        <f t="shared" si="2"/>
        <v>36008</v>
      </c>
      <c r="D27" s="20">
        <f t="shared" si="3"/>
        <v>9.1484901993165557E-2</v>
      </c>
      <c r="E27" s="28">
        <v>35884</v>
      </c>
      <c r="F27" s="38">
        <f t="shared" si="5"/>
        <v>9.2538437337211885E-2</v>
      </c>
      <c r="G27" s="33">
        <f>E27-'24년 4월'!E27</f>
        <v>-106</v>
      </c>
      <c r="H27" s="51">
        <v>17614</v>
      </c>
      <c r="I27" s="38">
        <f t="shared" si="6"/>
        <v>4.5423365155992927E-2</v>
      </c>
      <c r="J27" s="51">
        <v>18270</v>
      </c>
      <c r="K27" s="38">
        <f t="shared" si="7"/>
        <v>4.7115072181218957E-2</v>
      </c>
      <c r="L27" s="28">
        <f t="shared" si="8"/>
        <v>124</v>
      </c>
      <c r="M27" s="11">
        <f t="shared" si="4"/>
        <v>2.1302181755712076E-2</v>
      </c>
      <c r="N27" s="96">
        <f>L27-'24년 4월'!L27</f>
        <v>-4</v>
      </c>
      <c r="O27" s="73">
        <v>38</v>
      </c>
      <c r="P27" s="73">
        <v>86</v>
      </c>
      <c r="Q27" s="35">
        <v>12768</v>
      </c>
      <c r="R27" s="33">
        <f>Q27-'24년 4월'!Q27</f>
        <v>-27</v>
      </c>
      <c r="S27" s="73">
        <v>2.81</v>
      </c>
      <c r="T27" s="123"/>
      <c r="U27" s="48"/>
      <c r="V27" s="28">
        <v>35257</v>
      </c>
      <c r="W27" s="35">
        <v>12436</v>
      </c>
    </row>
    <row r="28" spans="1:23">
      <c r="A28" s="77"/>
      <c r="B28" s="115" t="s">
        <v>31</v>
      </c>
      <c r="C28" s="10">
        <f t="shared" si="2"/>
        <v>21839</v>
      </c>
      <c r="D28" s="20">
        <f t="shared" si="3"/>
        <v>5.548596907989177E-2</v>
      </c>
      <c r="E28" s="28">
        <v>21730</v>
      </c>
      <c r="F28" s="38">
        <f t="shared" si="5"/>
        <v>5.6037795210612369E-2</v>
      </c>
      <c r="G28" s="33">
        <f>E28-'24년 4월'!E28</f>
        <v>5</v>
      </c>
      <c r="H28" s="51">
        <v>10573</v>
      </c>
      <c r="I28" s="38">
        <f t="shared" si="6"/>
        <v>2.7265881673345815E-2</v>
      </c>
      <c r="J28" s="51">
        <v>11157</v>
      </c>
      <c r="K28" s="38">
        <f t="shared" si="7"/>
        <v>2.8771913537266554E-2</v>
      </c>
      <c r="L28" s="28">
        <f t="shared" si="8"/>
        <v>109</v>
      </c>
      <c r="M28" s="11">
        <f t="shared" si="4"/>
        <v>1.8725304930424326E-2</v>
      </c>
      <c r="N28" s="96">
        <f>L28-'24년 4월'!L28</f>
        <v>0</v>
      </c>
      <c r="O28" s="73">
        <v>34</v>
      </c>
      <c r="P28" s="73">
        <v>75</v>
      </c>
      <c r="Q28" s="35">
        <v>8395</v>
      </c>
      <c r="R28" s="33">
        <f>Q28-'24년 4월'!Q28</f>
        <v>-14</v>
      </c>
      <c r="S28" s="73">
        <v>2.59</v>
      </c>
      <c r="T28" s="123"/>
      <c r="U28" s="48"/>
      <c r="V28" s="28">
        <v>21830</v>
      </c>
      <c r="W28" s="35">
        <v>8390</v>
      </c>
    </row>
    <row r="29" spans="1:23">
      <c r="A29" s="77"/>
      <c r="B29" s="115" t="s">
        <v>36</v>
      </c>
      <c r="C29" s="10">
        <f t="shared" si="2"/>
        <v>28790</v>
      </c>
      <c r="D29" s="20">
        <f>C29/$C$8</f>
        <v>7.314625439855689E-2</v>
      </c>
      <c r="E29" s="28">
        <v>28513</v>
      </c>
      <c r="F29" s="38">
        <f t="shared" si="5"/>
        <v>7.3529942698582165E-2</v>
      </c>
      <c r="G29" s="33">
        <f>E29-'24년 4월'!E29</f>
        <v>27</v>
      </c>
      <c r="H29" s="51">
        <v>13993</v>
      </c>
      <c r="I29" s="38">
        <f t="shared" si="6"/>
        <v>3.6085451835347393E-2</v>
      </c>
      <c r="J29" s="51">
        <v>14520</v>
      </c>
      <c r="K29" s="38">
        <f t="shared" si="7"/>
        <v>3.7444490863234772E-2</v>
      </c>
      <c r="L29" s="28">
        <f t="shared" si="8"/>
        <v>277</v>
      </c>
      <c r="M29" s="11">
        <f t="shared" si="4"/>
        <v>4.758632537364714E-2</v>
      </c>
      <c r="N29" s="96">
        <f>L29-'24년 4월'!L29</f>
        <v>-2</v>
      </c>
      <c r="O29" s="73">
        <v>120</v>
      </c>
      <c r="P29" s="73">
        <v>157</v>
      </c>
      <c r="Q29" s="35">
        <v>11991</v>
      </c>
      <c r="R29" s="33">
        <f>Q29-'24년 4월'!Q29</f>
        <v>-7</v>
      </c>
      <c r="S29" s="73">
        <v>2.38</v>
      </c>
      <c r="T29" s="123"/>
      <c r="U29" s="48"/>
      <c r="V29" s="28">
        <v>28108</v>
      </c>
      <c r="W29" s="35">
        <v>11868</v>
      </c>
    </row>
    <row r="30" spans="1:23">
      <c r="A30" s="77"/>
      <c r="B30" s="115" t="s">
        <v>32</v>
      </c>
      <c r="C30" s="10">
        <f t="shared" si="2"/>
        <v>18950</v>
      </c>
      <c r="D30" s="20">
        <f t="shared" si="3"/>
        <v>4.8145936813221712E-2</v>
      </c>
      <c r="E30" s="28">
        <v>18888</v>
      </c>
      <c r="F30" s="38">
        <f t="shared" si="5"/>
        <v>4.8708783982422753E-2</v>
      </c>
      <c r="G30" s="33">
        <f>E30-'24년 4월'!E30</f>
        <v>-13</v>
      </c>
      <c r="H30" s="51">
        <v>9275</v>
      </c>
      <c r="I30" s="38">
        <f t="shared" si="6"/>
        <v>2.3918571126480888E-2</v>
      </c>
      <c r="J30" s="51">
        <v>9613</v>
      </c>
      <c r="K30" s="38">
        <f t="shared" si="7"/>
        <v>2.4790212855941861E-2</v>
      </c>
      <c r="L30" s="28">
        <f t="shared" si="8"/>
        <v>62</v>
      </c>
      <c r="M30" s="11">
        <f t="shared" si="4"/>
        <v>1.0651090877856038E-2</v>
      </c>
      <c r="N30" s="96">
        <f>L30-'24년 4월'!L30</f>
        <v>3</v>
      </c>
      <c r="O30" s="73">
        <v>20</v>
      </c>
      <c r="P30" s="73">
        <v>42</v>
      </c>
      <c r="Q30" s="35">
        <v>6955</v>
      </c>
      <c r="R30" s="33">
        <f>Q30-'24년 4월'!Q30</f>
        <v>-16</v>
      </c>
      <c r="S30" s="73">
        <v>2.72</v>
      </c>
      <c r="T30" s="123"/>
      <c r="U30" s="48"/>
      <c r="V30" s="28">
        <v>18980</v>
      </c>
      <c r="W30" s="35">
        <v>6924</v>
      </c>
    </row>
    <row r="31" spans="1:23">
      <c r="A31" s="77"/>
      <c r="B31" s="124" t="s">
        <v>45</v>
      </c>
      <c r="C31" s="10">
        <f t="shared" si="2"/>
        <v>11296</v>
      </c>
      <c r="D31" s="20">
        <f t="shared" si="3"/>
        <v>2.8699551569506727E-2</v>
      </c>
      <c r="E31" s="28">
        <v>11258</v>
      </c>
      <c r="F31" s="38">
        <f t="shared" si="5"/>
        <v>2.9032374527430925E-2</v>
      </c>
      <c r="G31" s="33">
        <f>E31-'24년 4월'!E31</f>
        <v>16</v>
      </c>
      <c r="H31" s="51">
        <v>5546</v>
      </c>
      <c r="I31" s="38">
        <f t="shared" si="6"/>
        <v>1.4302145063877413E-2</v>
      </c>
      <c r="J31" s="51">
        <v>5712</v>
      </c>
      <c r="K31" s="38">
        <f t="shared" si="7"/>
        <v>1.4730229463553512E-2</v>
      </c>
      <c r="L31" s="28">
        <f t="shared" si="8"/>
        <v>38</v>
      </c>
      <c r="M31" s="11">
        <f t="shared" si="4"/>
        <v>6.5280879573956369E-3</v>
      </c>
      <c r="N31" s="96">
        <f>L31-'24년 4월'!L31</f>
        <v>-2</v>
      </c>
      <c r="O31" s="73">
        <v>11</v>
      </c>
      <c r="P31" s="73">
        <v>27</v>
      </c>
      <c r="Q31" s="35">
        <v>4392</v>
      </c>
      <c r="R31" s="33">
        <f>Q31-'24년 4월'!Q31</f>
        <v>9</v>
      </c>
      <c r="S31" s="73">
        <v>2.56</v>
      </c>
      <c r="T31" s="122"/>
      <c r="U31" s="48"/>
      <c r="V31" s="28">
        <v>11256</v>
      </c>
      <c r="W31" s="35">
        <v>4368</v>
      </c>
    </row>
    <row r="32" spans="1:23" ht="17.25" thickBot="1">
      <c r="A32" s="78"/>
      <c r="B32" s="125" t="s">
        <v>46</v>
      </c>
      <c r="C32" s="126">
        <f t="shared" si="2"/>
        <v>28413</v>
      </c>
      <c r="D32" s="127">
        <f t="shared" si="3"/>
        <v>7.2188417027655327E-2</v>
      </c>
      <c r="E32" s="128">
        <v>28334</v>
      </c>
      <c r="F32" s="129">
        <f t="shared" si="5"/>
        <v>7.3068333617003725E-2</v>
      </c>
      <c r="G32" s="130">
        <f>E32-'24년 4월'!E32</f>
        <v>-24</v>
      </c>
      <c r="H32" s="131">
        <v>13599</v>
      </c>
      <c r="I32" s="129">
        <f t="shared" si="6"/>
        <v>3.5069396091537856E-2</v>
      </c>
      <c r="J32" s="131">
        <v>14735</v>
      </c>
      <c r="K32" s="129">
        <f t="shared" si="7"/>
        <v>3.7998937525465862E-2</v>
      </c>
      <c r="L32" s="128">
        <f t="shared" si="8"/>
        <v>79</v>
      </c>
      <c r="M32" s="132">
        <f t="shared" si="4"/>
        <v>1.3571551279848824E-2</v>
      </c>
      <c r="N32" s="133">
        <f>L32-'24년 4월'!L32</f>
        <v>0</v>
      </c>
      <c r="O32" s="134">
        <v>28</v>
      </c>
      <c r="P32" s="134">
        <v>51</v>
      </c>
      <c r="Q32" s="135">
        <v>10794</v>
      </c>
      <c r="R32" s="130">
        <f>Q32-'24년 4월'!Q32</f>
        <v>-5</v>
      </c>
      <c r="S32" s="134">
        <v>2.62</v>
      </c>
      <c r="T32" s="136"/>
      <c r="U32" s="48"/>
      <c r="V32" s="28">
        <v>28539</v>
      </c>
      <c r="W32" s="35">
        <v>10819</v>
      </c>
    </row>
    <row r="33" spans="1:21">
      <c r="A33" s="79"/>
      <c r="B33" s="80"/>
      <c r="C33" s="41"/>
      <c r="D33" s="41"/>
      <c r="E33" s="81"/>
      <c r="F33" s="81"/>
      <c r="G33" s="82"/>
      <c r="H33" s="81"/>
      <c r="I33" s="83"/>
      <c r="J33" s="81"/>
      <c r="K33" s="83"/>
      <c r="L33" s="47"/>
      <c r="N33" s="48"/>
      <c r="Q33" s="84"/>
      <c r="R33" s="85"/>
      <c r="S33" s="86"/>
      <c r="T33" s="87"/>
      <c r="U33" s="48"/>
    </row>
    <row r="34" spans="1:21">
      <c r="A34" s="39"/>
      <c r="B34" s="40" t="s">
        <v>66</v>
      </c>
      <c r="E34" s="41"/>
      <c r="F34" s="41"/>
      <c r="G34" s="41"/>
      <c r="H34" s="42"/>
      <c r="I34" s="43"/>
      <c r="J34" s="44"/>
      <c r="K34" s="44"/>
      <c r="Q34" s="45"/>
      <c r="R34" s="46"/>
      <c r="S34" s="47"/>
      <c r="U34" s="48"/>
    </row>
    <row r="35" spans="1:21">
      <c r="A35" s="39"/>
      <c r="B35" s="88"/>
      <c r="E35" s="41"/>
      <c r="F35" s="41"/>
      <c r="G35" s="41"/>
      <c r="H35" s="42"/>
      <c r="I35" s="43"/>
      <c r="J35" s="44"/>
      <c r="K35" s="44"/>
      <c r="Q35" s="45"/>
      <c r="R35" s="46"/>
      <c r="S35" s="47"/>
      <c r="U35" s="48"/>
    </row>
  </sheetData>
  <mergeCells count="12">
    <mergeCell ref="Q6:Q7"/>
    <mergeCell ref="R6:R7"/>
    <mergeCell ref="B2:T2"/>
    <mergeCell ref="B5:B7"/>
    <mergeCell ref="E5:K5"/>
    <mergeCell ref="Q5:R5"/>
    <mergeCell ref="S5:S7"/>
    <mergeCell ref="T5:T7"/>
    <mergeCell ref="C6:C7"/>
    <mergeCell ref="D6:D7"/>
    <mergeCell ref="E6:K6"/>
    <mergeCell ref="L6:P6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9B85-3A20-4CBE-A11B-AD506B759476}">
  <sheetPr>
    <tabColor theme="7"/>
  </sheetPr>
  <dimension ref="A1:X35"/>
  <sheetViews>
    <sheetView zoomScale="130" zoomScaleNormal="130" workbookViewId="0">
      <selection activeCell="H13" sqref="H13"/>
    </sheetView>
  </sheetViews>
  <sheetFormatPr defaultRowHeight="16.5"/>
  <cols>
    <col min="1" max="1" width="1.25" customWidth="1"/>
    <col min="6" max="6" width="10" customWidth="1"/>
    <col min="13" max="13" width="9.875" customWidth="1"/>
    <col min="21" max="21" width="23.75" customWidth="1"/>
    <col min="22" max="23" width="9.625" hidden="1" customWidth="1"/>
  </cols>
  <sheetData>
    <row r="1" spans="1:24">
      <c r="A1" s="39"/>
      <c r="B1" s="52"/>
      <c r="C1" s="1"/>
      <c r="D1" s="1"/>
      <c r="E1" s="53"/>
      <c r="F1" s="53"/>
      <c r="G1" s="53"/>
      <c r="H1" s="53"/>
      <c r="I1" s="53"/>
      <c r="J1" s="53"/>
      <c r="K1" s="53"/>
      <c r="L1" s="2"/>
      <c r="M1" s="2"/>
      <c r="N1" s="2"/>
      <c r="O1" s="2"/>
      <c r="P1" s="2"/>
      <c r="Q1" s="53"/>
      <c r="R1" s="54"/>
      <c r="S1" s="55"/>
      <c r="T1" s="53"/>
      <c r="U1" s="48"/>
    </row>
    <row r="2" spans="1:24" ht="31.5">
      <c r="A2" s="56"/>
      <c r="B2" s="149" t="s">
        <v>62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48"/>
    </row>
    <row r="3" spans="1:24" ht="26.25">
      <c r="A3" s="56"/>
      <c r="B3" s="57"/>
      <c r="C3" s="3"/>
      <c r="D3" s="3"/>
      <c r="E3" s="58"/>
      <c r="F3" s="58"/>
      <c r="G3" s="58"/>
      <c r="H3" s="58"/>
      <c r="I3" s="58"/>
      <c r="J3" s="58"/>
      <c r="K3" s="58"/>
      <c r="L3" s="4"/>
      <c r="M3" s="4"/>
      <c r="O3" s="26"/>
      <c r="P3" s="26"/>
      <c r="Q3" s="58"/>
      <c r="R3" s="59"/>
      <c r="S3" s="60"/>
      <c r="T3" s="58"/>
      <c r="U3" s="48"/>
    </row>
    <row r="4" spans="1:24" ht="18" thickBot="1">
      <c r="A4" s="39"/>
      <c r="B4" s="61" t="s">
        <v>61</v>
      </c>
      <c r="C4" s="5"/>
      <c r="D4" s="5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64"/>
      <c r="S4" s="65"/>
      <c r="T4" s="66" t="s">
        <v>11</v>
      </c>
      <c r="U4" s="48"/>
    </row>
    <row r="5" spans="1:24" ht="16.5" customHeight="1">
      <c r="A5" s="39"/>
      <c r="B5" s="150" t="s">
        <v>12</v>
      </c>
      <c r="C5" s="111"/>
      <c r="D5" s="111"/>
      <c r="E5" s="153"/>
      <c r="F5" s="153"/>
      <c r="G5" s="153"/>
      <c r="H5" s="153"/>
      <c r="I5" s="153"/>
      <c r="J5" s="153"/>
      <c r="K5" s="153"/>
      <c r="L5" s="137"/>
      <c r="M5" s="137"/>
      <c r="N5" s="137"/>
      <c r="O5" s="137"/>
      <c r="P5" s="137"/>
      <c r="Q5" s="154" t="s">
        <v>13</v>
      </c>
      <c r="R5" s="153"/>
      <c r="S5" s="155" t="s">
        <v>37</v>
      </c>
      <c r="T5" s="158" t="s">
        <v>48</v>
      </c>
      <c r="U5" s="48"/>
    </row>
    <row r="6" spans="1:24">
      <c r="A6" s="39"/>
      <c r="B6" s="151"/>
      <c r="C6" s="161" t="s">
        <v>33</v>
      </c>
      <c r="D6" s="163" t="s">
        <v>14</v>
      </c>
      <c r="E6" s="165" t="s">
        <v>15</v>
      </c>
      <c r="F6" s="166"/>
      <c r="G6" s="166"/>
      <c r="H6" s="166"/>
      <c r="I6" s="166"/>
      <c r="J6" s="166"/>
      <c r="K6" s="167"/>
      <c r="L6" s="168" t="s">
        <v>0</v>
      </c>
      <c r="M6" s="166"/>
      <c r="N6" s="166"/>
      <c r="O6" s="166"/>
      <c r="P6" s="167"/>
      <c r="Q6" s="145" t="s">
        <v>16</v>
      </c>
      <c r="R6" s="147" t="s">
        <v>17</v>
      </c>
      <c r="S6" s="156"/>
      <c r="T6" s="159"/>
      <c r="U6" s="48"/>
    </row>
    <row r="7" spans="1:24" ht="29.25" thickBot="1">
      <c r="A7" s="39"/>
      <c r="B7" s="152"/>
      <c r="C7" s="162"/>
      <c r="D7" s="164"/>
      <c r="E7" s="138" t="s">
        <v>18</v>
      </c>
      <c r="F7" s="67" t="s">
        <v>19</v>
      </c>
      <c r="G7" s="68" t="s">
        <v>17</v>
      </c>
      <c r="H7" s="69" t="s">
        <v>20</v>
      </c>
      <c r="I7" s="68" t="s">
        <v>50</v>
      </c>
      <c r="J7" s="69" t="s">
        <v>21</v>
      </c>
      <c r="K7" s="68" t="s">
        <v>49</v>
      </c>
      <c r="L7" s="109" t="s">
        <v>22</v>
      </c>
      <c r="M7" s="68" t="s">
        <v>23</v>
      </c>
      <c r="N7" s="68" t="s">
        <v>17</v>
      </c>
      <c r="O7" s="110" t="s">
        <v>24</v>
      </c>
      <c r="P7" s="109" t="s">
        <v>25</v>
      </c>
      <c r="Q7" s="146"/>
      <c r="R7" s="148"/>
      <c r="S7" s="157"/>
      <c r="T7" s="160"/>
      <c r="U7" s="48"/>
      <c r="V7" s="70" t="s">
        <v>38</v>
      </c>
      <c r="W7" s="70" t="s">
        <v>39</v>
      </c>
    </row>
    <row r="8" spans="1:24" ht="17.25" thickTop="1">
      <c r="A8" s="39"/>
      <c r="B8" s="113" t="s">
        <v>26</v>
      </c>
      <c r="C8" s="8">
        <f>SUM(C9:C32)</f>
        <v>393566</v>
      </c>
      <c r="D8" s="19">
        <f>SUM(D9:D32)</f>
        <v>0.99999999999999989</v>
      </c>
      <c r="E8" s="104">
        <v>387726</v>
      </c>
      <c r="F8" s="19">
        <f>SUM(F9:F32)</f>
        <v>0.99999999999999978</v>
      </c>
      <c r="G8" s="32">
        <f>SUM(G9:G32)</f>
        <v>315</v>
      </c>
      <c r="H8" s="105">
        <v>193099</v>
      </c>
      <c r="I8" s="106">
        <f t="shared" ref="I8:K8" si="0">SUM(I9:I32)</f>
        <v>0.49802953632204178</v>
      </c>
      <c r="J8" s="105">
        <v>194627</v>
      </c>
      <c r="K8" s="106">
        <f t="shared" si="0"/>
        <v>0.50197046367795817</v>
      </c>
      <c r="L8" s="104">
        <f>SUM(O8:P8)</f>
        <v>5840</v>
      </c>
      <c r="M8" s="106">
        <f t="shared" ref="M8" si="1">SUM(M9:M32)</f>
        <v>1</v>
      </c>
      <c r="N8" s="96">
        <f>L8-'24년 3월'!L8</f>
        <v>-3</v>
      </c>
      <c r="O8" s="31">
        <f>SUM(O9:O32)</f>
        <v>3554</v>
      </c>
      <c r="P8" s="31">
        <f>SUM(P9:P32)</f>
        <v>2286</v>
      </c>
      <c r="Q8" s="107">
        <v>161975</v>
      </c>
      <c r="R8" s="32">
        <f>SUM(R9:R32)</f>
        <v>264</v>
      </c>
      <c r="S8" s="108">
        <v>2.39</v>
      </c>
      <c r="T8" s="114"/>
      <c r="U8" s="92"/>
      <c r="V8" s="49">
        <v>386192</v>
      </c>
      <c r="W8" s="34">
        <v>160562</v>
      </c>
      <c r="X8" s="25"/>
    </row>
    <row r="9" spans="1:24">
      <c r="A9" s="39"/>
      <c r="B9" s="115" t="s">
        <v>1</v>
      </c>
      <c r="C9" s="10">
        <f t="shared" ref="C9:C32" si="2">E9+L9</f>
        <v>42457</v>
      </c>
      <c r="D9" s="20">
        <f t="shared" ref="D9:D32" si="3">C9/$C$8</f>
        <v>0.10787771301382741</v>
      </c>
      <c r="E9" s="28">
        <v>40729</v>
      </c>
      <c r="F9" s="38">
        <f>E9/$E$8</f>
        <v>0.1050458313344991</v>
      </c>
      <c r="G9" s="33">
        <f>E9-'24년 3월'!E9</f>
        <v>-106</v>
      </c>
      <c r="H9" s="51">
        <v>21162</v>
      </c>
      <c r="I9" s="38">
        <f>H9/$E$8</f>
        <v>5.457978056668885E-2</v>
      </c>
      <c r="J9" s="51">
        <v>19567</v>
      </c>
      <c r="K9" s="38">
        <f>J9/$E$8</f>
        <v>5.0466050767810258E-2</v>
      </c>
      <c r="L9" s="28">
        <f>SUM(O9:P9)</f>
        <v>1728</v>
      </c>
      <c r="M9" s="11">
        <f t="shared" ref="M9:M32" si="4">L9/$L$8</f>
        <v>0.29589041095890412</v>
      </c>
      <c r="N9" s="96">
        <f>L9-'24년 3월'!L9</f>
        <v>-42</v>
      </c>
      <c r="O9" s="73">
        <v>899</v>
      </c>
      <c r="P9" s="73">
        <v>829</v>
      </c>
      <c r="Q9" s="35">
        <v>20401</v>
      </c>
      <c r="R9" s="33">
        <f>Q9-'24년 3월'!Q9</f>
        <v>-3</v>
      </c>
      <c r="S9" s="90">
        <v>2</v>
      </c>
      <c r="T9" s="116"/>
      <c r="U9" s="48"/>
      <c r="V9" s="28">
        <v>41784</v>
      </c>
      <c r="W9" s="35">
        <v>20662</v>
      </c>
    </row>
    <row r="10" spans="1:24">
      <c r="A10" s="39"/>
      <c r="B10" s="115" t="s">
        <v>2</v>
      </c>
      <c r="C10" s="10">
        <f t="shared" si="2"/>
        <v>2508</v>
      </c>
      <c r="D10" s="20">
        <f t="shared" si="3"/>
        <v>6.3725016896784784E-3</v>
      </c>
      <c r="E10" s="28">
        <v>2422</v>
      </c>
      <c r="F10" s="38">
        <f t="shared" ref="F10:F32" si="5">E10/$E$8</f>
        <v>6.2466793560400904E-3</v>
      </c>
      <c r="G10" s="33">
        <f>E10-'24년 3월'!E10</f>
        <v>-30</v>
      </c>
      <c r="H10" s="51">
        <v>1391</v>
      </c>
      <c r="I10" s="38">
        <f t="shared" ref="I10:I32" si="6">H10/$E$8</f>
        <v>3.5875850471724876E-3</v>
      </c>
      <c r="J10" s="51">
        <v>1031</v>
      </c>
      <c r="K10" s="38">
        <f t="shared" ref="K10:K32" si="7">J10/$E$8</f>
        <v>2.6590943088676024E-3</v>
      </c>
      <c r="L10" s="28">
        <f t="shared" ref="L10:L32" si="8">SUM(O10:P10)</f>
        <v>86</v>
      </c>
      <c r="M10" s="11">
        <f t="shared" si="4"/>
        <v>1.4726027397260274E-2</v>
      </c>
      <c r="N10" s="96">
        <f>L10-'24년 3월'!L10</f>
        <v>5</v>
      </c>
      <c r="O10" s="73">
        <v>56</v>
      </c>
      <c r="P10" s="73">
        <v>30</v>
      </c>
      <c r="Q10" s="35">
        <v>1472</v>
      </c>
      <c r="R10" s="33">
        <f>Q10-'24년 3월'!Q10</f>
        <v>-16</v>
      </c>
      <c r="S10" s="73">
        <v>1.65</v>
      </c>
      <c r="T10" s="116"/>
      <c r="U10" s="48"/>
      <c r="V10" s="28">
        <v>2567</v>
      </c>
      <c r="W10" s="35">
        <v>1558</v>
      </c>
      <c r="X10" s="25"/>
    </row>
    <row r="11" spans="1:24">
      <c r="A11" s="39"/>
      <c r="B11" s="115" t="s">
        <v>3</v>
      </c>
      <c r="C11" s="10">
        <f t="shared" si="2"/>
        <v>2985</v>
      </c>
      <c r="D11" s="20">
        <f t="shared" si="3"/>
        <v>7.5844966282656526E-3</v>
      </c>
      <c r="E11" s="28">
        <v>2793</v>
      </c>
      <c r="F11" s="38">
        <f t="shared" si="5"/>
        <v>7.2035406446820695E-3</v>
      </c>
      <c r="G11" s="33">
        <f>E11-'24년 3월'!E11</f>
        <v>-8</v>
      </c>
      <c r="H11" s="51">
        <v>1466</v>
      </c>
      <c r="I11" s="38">
        <f t="shared" si="6"/>
        <v>3.7810206176526725E-3</v>
      </c>
      <c r="J11" s="51">
        <v>1327</v>
      </c>
      <c r="K11" s="38">
        <f t="shared" si="7"/>
        <v>3.422520027029397E-3</v>
      </c>
      <c r="L11" s="28">
        <f t="shared" si="8"/>
        <v>192</v>
      </c>
      <c r="M11" s="11">
        <f t="shared" si="4"/>
        <v>3.287671232876712E-2</v>
      </c>
      <c r="N11" s="96">
        <f>L11-'24년 3월'!L11</f>
        <v>-2</v>
      </c>
      <c r="O11" s="73">
        <v>156</v>
      </c>
      <c r="P11" s="73">
        <v>36</v>
      </c>
      <c r="Q11" s="35">
        <v>1640</v>
      </c>
      <c r="R11" s="33">
        <f>Q11-'24년 3월'!Q11</f>
        <v>3</v>
      </c>
      <c r="S11" s="73">
        <v>1.7</v>
      </c>
      <c r="T11" s="116"/>
      <c r="U11" s="48"/>
      <c r="V11" s="28">
        <v>2905</v>
      </c>
      <c r="W11" s="35">
        <v>1681</v>
      </c>
    </row>
    <row r="12" spans="1:24">
      <c r="A12" s="39"/>
      <c r="B12" s="115" t="s">
        <v>4</v>
      </c>
      <c r="C12" s="10">
        <f t="shared" si="2"/>
        <v>5791</v>
      </c>
      <c r="D12" s="20">
        <f t="shared" si="3"/>
        <v>1.4714177545824589E-2</v>
      </c>
      <c r="E12" s="28">
        <v>5472</v>
      </c>
      <c r="F12" s="38">
        <f t="shared" si="5"/>
        <v>1.4113059222234258E-2</v>
      </c>
      <c r="G12" s="33">
        <f>E12-'24년 3월'!E12</f>
        <v>-40</v>
      </c>
      <c r="H12" s="51">
        <v>3020</v>
      </c>
      <c r="I12" s="38">
        <f t="shared" si="6"/>
        <v>7.7890056380020946E-3</v>
      </c>
      <c r="J12" s="51">
        <v>2452</v>
      </c>
      <c r="K12" s="38">
        <f t="shared" si="7"/>
        <v>6.324053584232164E-3</v>
      </c>
      <c r="L12" s="28">
        <f t="shared" si="8"/>
        <v>319</v>
      </c>
      <c r="M12" s="11">
        <f t="shared" si="4"/>
        <v>5.4623287671232874E-2</v>
      </c>
      <c r="N12" s="96">
        <f>L12-'24년 3월'!L12</f>
        <v>7</v>
      </c>
      <c r="O12" s="73">
        <v>264</v>
      </c>
      <c r="P12" s="73">
        <v>55</v>
      </c>
      <c r="Q12" s="35">
        <v>3079</v>
      </c>
      <c r="R12" s="33">
        <f>Q12-'24년 3월'!Q12</f>
        <v>-18</v>
      </c>
      <c r="S12" s="73">
        <v>1.78</v>
      </c>
      <c r="T12" s="116"/>
      <c r="U12" s="48"/>
      <c r="V12" s="28">
        <v>5701</v>
      </c>
      <c r="W12" s="35">
        <v>3187</v>
      </c>
    </row>
    <row r="13" spans="1:24">
      <c r="A13" s="39"/>
      <c r="B13" s="115" t="s">
        <v>5</v>
      </c>
      <c r="C13" s="10">
        <f t="shared" si="2"/>
        <v>8627</v>
      </c>
      <c r="D13" s="20">
        <f t="shared" si="3"/>
        <v>2.1920084560150013E-2</v>
      </c>
      <c r="E13" s="28">
        <v>8343</v>
      </c>
      <c r="F13" s="38">
        <f t="shared" si="5"/>
        <v>2.1517772860215719E-2</v>
      </c>
      <c r="G13" s="33">
        <f>E13-'24년 3월'!E13</f>
        <v>-24</v>
      </c>
      <c r="H13" s="51">
        <v>4462</v>
      </c>
      <c r="I13" s="38">
        <f t="shared" si="6"/>
        <v>1.1508126873101108E-2</v>
      </c>
      <c r="J13" s="51">
        <v>3881</v>
      </c>
      <c r="K13" s="38">
        <f t="shared" si="7"/>
        <v>1.0009645987114612E-2</v>
      </c>
      <c r="L13" s="28">
        <f t="shared" si="8"/>
        <v>284</v>
      </c>
      <c r="M13" s="11">
        <f t="shared" si="4"/>
        <v>4.8630136986301371E-2</v>
      </c>
      <c r="N13" s="96">
        <f>L13-'24년 3월'!L13</f>
        <v>3</v>
      </c>
      <c r="O13" s="73">
        <v>188</v>
      </c>
      <c r="P13" s="73">
        <v>96</v>
      </c>
      <c r="Q13" s="35">
        <v>4750</v>
      </c>
      <c r="R13" s="33">
        <f>Q13-'24년 3월'!Q13</f>
        <v>-17</v>
      </c>
      <c r="S13" s="73">
        <v>1.76</v>
      </c>
      <c r="T13" s="116"/>
      <c r="U13" s="48"/>
      <c r="V13" s="28">
        <v>8518</v>
      </c>
      <c r="W13" s="35">
        <v>4795</v>
      </c>
    </row>
    <row r="14" spans="1:24">
      <c r="A14" s="39"/>
      <c r="B14" s="115" t="s">
        <v>6</v>
      </c>
      <c r="C14" s="10">
        <f t="shared" si="2"/>
        <v>6980</v>
      </c>
      <c r="D14" s="20">
        <f t="shared" si="3"/>
        <v>1.7735271847669768E-2</v>
      </c>
      <c r="E14" s="28">
        <v>6532</v>
      </c>
      <c r="F14" s="38">
        <f t="shared" si="5"/>
        <v>1.6846948618354198E-2</v>
      </c>
      <c r="G14" s="33">
        <f>E14-'24년 3월'!E14</f>
        <v>-40</v>
      </c>
      <c r="H14" s="51">
        <v>3840</v>
      </c>
      <c r="I14" s="38">
        <f t="shared" si="6"/>
        <v>9.9039012085854437E-3</v>
      </c>
      <c r="J14" s="51">
        <v>2692</v>
      </c>
      <c r="K14" s="38">
        <f t="shared" si="7"/>
        <v>6.9430474097687545E-3</v>
      </c>
      <c r="L14" s="28">
        <f t="shared" si="8"/>
        <v>448</v>
      </c>
      <c r="M14" s="11">
        <f t="shared" si="4"/>
        <v>7.6712328767123292E-2</v>
      </c>
      <c r="N14" s="96">
        <f>L14-'24년 3월'!L14</f>
        <v>5</v>
      </c>
      <c r="O14" s="73">
        <v>322</v>
      </c>
      <c r="P14" s="73">
        <v>126</v>
      </c>
      <c r="Q14" s="35">
        <v>4095</v>
      </c>
      <c r="R14" s="33">
        <f>Q14-'24년 3월'!Q14</f>
        <v>-19</v>
      </c>
      <c r="S14" s="90">
        <v>1.6</v>
      </c>
      <c r="T14" s="116"/>
      <c r="U14" s="48"/>
      <c r="V14" s="28">
        <v>6785</v>
      </c>
      <c r="W14" s="35">
        <v>4218</v>
      </c>
    </row>
    <row r="15" spans="1:24">
      <c r="A15" s="39"/>
      <c r="B15" s="115" t="s">
        <v>7</v>
      </c>
      <c r="C15" s="10">
        <f t="shared" si="2"/>
        <v>7078</v>
      </c>
      <c r="D15" s="20">
        <f t="shared" si="3"/>
        <v>1.7984277097106965E-2</v>
      </c>
      <c r="E15" s="28">
        <v>6843</v>
      </c>
      <c r="F15" s="38">
        <f t="shared" si="5"/>
        <v>1.7649061450612031E-2</v>
      </c>
      <c r="G15" s="33">
        <f>E15-'24년 3월'!E15</f>
        <v>-3</v>
      </c>
      <c r="H15" s="51">
        <v>3731</v>
      </c>
      <c r="I15" s="38">
        <f t="shared" si="6"/>
        <v>9.6227748461542428E-3</v>
      </c>
      <c r="J15" s="51">
        <v>3112</v>
      </c>
      <c r="K15" s="38">
        <f t="shared" si="7"/>
        <v>8.0262866044577864E-3</v>
      </c>
      <c r="L15" s="28">
        <f t="shared" si="8"/>
        <v>235</v>
      </c>
      <c r="M15" s="11">
        <f t="shared" si="4"/>
        <v>4.0239726027397262E-2</v>
      </c>
      <c r="N15" s="96">
        <f>L15-'24년 3월'!L15</f>
        <v>3</v>
      </c>
      <c r="O15" s="73">
        <v>178</v>
      </c>
      <c r="P15" s="73">
        <v>57</v>
      </c>
      <c r="Q15" s="35">
        <v>3721</v>
      </c>
      <c r="R15" s="33">
        <f>Q15-'24년 3월'!Q15</f>
        <v>10</v>
      </c>
      <c r="S15" s="73">
        <v>1.84</v>
      </c>
      <c r="T15" s="116"/>
      <c r="U15" s="48"/>
      <c r="V15" s="28">
        <v>7041</v>
      </c>
      <c r="W15" s="35">
        <v>3821</v>
      </c>
    </row>
    <row r="16" spans="1:24">
      <c r="A16" s="39"/>
      <c r="B16" s="115" t="s">
        <v>8</v>
      </c>
      <c r="C16" s="10">
        <f t="shared" si="2"/>
        <v>5740</v>
      </c>
      <c r="D16" s="20">
        <f t="shared" si="3"/>
        <v>1.4584593181321557E-2</v>
      </c>
      <c r="E16" s="28">
        <v>5207</v>
      </c>
      <c r="F16" s="38">
        <f t="shared" si="5"/>
        <v>1.3429586873204273E-2</v>
      </c>
      <c r="G16" s="33">
        <f>E16-'24년 3월'!E16</f>
        <v>-23</v>
      </c>
      <c r="H16" s="51">
        <v>2755</v>
      </c>
      <c r="I16" s="38">
        <f t="shared" si="6"/>
        <v>7.1055332889721091E-3</v>
      </c>
      <c r="J16" s="51">
        <v>2452</v>
      </c>
      <c r="K16" s="38">
        <f t="shared" si="7"/>
        <v>6.324053584232164E-3</v>
      </c>
      <c r="L16" s="28">
        <f t="shared" si="8"/>
        <v>533</v>
      </c>
      <c r="M16" s="11">
        <f t="shared" si="4"/>
        <v>9.126712328767124E-2</v>
      </c>
      <c r="N16" s="96">
        <f>L16-'24년 3월'!L16</f>
        <v>13</v>
      </c>
      <c r="O16" s="73">
        <v>447</v>
      </c>
      <c r="P16" s="73">
        <v>86</v>
      </c>
      <c r="Q16" s="35">
        <v>2940</v>
      </c>
      <c r="R16" s="33">
        <f>Q16-'24년 3월'!Q16</f>
        <v>-12</v>
      </c>
      <c r="S16" s="73">
        <v>1.77</v>
      </c>
      <c r="T16" s="116"/>
      <c r="U16" s="48"/>
      <c r="V16" s="28">
        <v>5397</v>
      </c>
      <c r="W16" s="35">
        <v>3039</v>
      </c>
    </row>
    <row r="17" spans="1:23">
      <c r="A17" s="39"/>
      <c r="B17" s="115" t="s">
        <v>9</v>
      </c>
      <c r="C17" s="10">
        <f t="shared" si="2"/>
        <v>3390</v>
      </c>
      <c r="D17" s="20">
        <f t="shared" si="3"/>
        <v>8.6135489346132535E-3</v>
      </c>
      <c r="E17" s="28">
        <v>3115</v>
      </c>
      <c r="F17" s="38">
        <f>E17/$E$8</f>
        <v>8.0340240272769939E-3</v>
      </c>
      <c r="G17" s="33">
        <f>E17-'24년 3월'!E17</f>
        <v>-3</v>
      </c>
      <c r="H17" s="51">
        <v>1661</v>
      </c>
      <c r="I17" s="38">
        <f t="shared" si="6"/>
        <v>4.2839531009011521E-3</v>
      </c>
      <c r="J17" s="51">
        <v>1454</v>
      </c>
      <c r="K17" s="38">
        <f t="shared" si="7"/>
        <v>3.7500709263758427E-3</v>
      </c>
      <c r="L17" s="28">
        <f t="shared" si="8"/>
        <v>275</v>
      </c>
      <c r="M17" s="11">
        <f t="shared" si="4"/>
        <v>4.7089041095890412E-2</v>
      </c>
      <c r="N17" s="96">
        <f>L17-'24년 3월'!L17</f>
        <v>-5</v>
      </c>
      <c r="O17" s="73">
        <v>236</v>
      </c>
      <c r="P17" s="73">
        <v>39</v>
      </c>
      <c r="Q17" s="35">
        <v>1844</v>
      </c>
      <c r="R17" s="33">
        <f>Q17-'24년 3월'!Q17</f>
        <v>-7</v>
      </c>
      <c r="S17" s="73">
        <v>1.69</v>
      </c>
      <c r="T17" s="116"/>
      <c r="U17" s="48"/>
      <c r="V17" s="28">
        <v>3214</v>
      </c>
      <c r="W17" s="35">
        <v>1896</v>
      </c>
    </row>
    <row r="18" spans="1:23">
      <c r="A18" s="39"/>
      <c r="B18" s="115" t="s">
        <v>10</v>
      </c>
      <c r="C18" s="10">
        <f t="shared" si="2"/>
        <v>2377</v>
      </c>
      <c r="D18" s="20">
        <f t="shared" si="3"/>
        <v>6.0396477337981433E-3</v>
      </c>
      <c r="E18" s="28">
        <v>2089</v>
      </c>
      <c r="F18" s="38">
        <f t="shared" si="5"/>
        <v>5.3878254231080709E-3</v>
      </c>
      <c r="G18" s="33">
        <f>E18-'24년 3월'!E18</f>
        <v>-6</v>
      </c>
      <c r="H18" s="51">
        <v>1122</v>
      </c>
      <c r="I18" s="38">
        <f t="shared" si="6"/>
        <v>2.8937961343835595E-3</v>
      </c>
      <c r="J18" s="51">
        <v>967</v>
      </c>
      <c r="K18" s="38">
        <f t="shared" si="7"/>
        <v>2.4940292887245118E-3</v>
      </c>
      <c r="L18" s="28">
        <f t="shared" si="8"/>
        <v>288</v>
      </c>
      <c r="M18" s="11">
        <f t="shared" si="4"/>
        <v>4.9315068493150684E-2</v>
      </c>
      <c r="N18" s="96">
        <f>L18-'24년 3월'!L18</f>
        <v>-7</v>
      </c>
      <c r="O18" s="73">
        <v>255</v>
      </c>
      <c r="P18" s="73">
        <v>33</v>
      </c>
      <c r="Q18" s="35">
        <v>1110</v>
      </c>
      <c r="R18" s="33">
        <f>Q18-'24년 3월'!Q18</f>
        <v>-6</v>
      </c>
      <c r="S18" s="73">
        <v>1.88</v>
      </c>
      <c r="T18" s="116"/>
      <c r="U18" s="48"/>
      <c r="V18" s="28">
        <v>2187</v>
      </c>
      <c r="W18" s="35">
        <v>1146</v>
      </c>
    </row>
    <row r="19" spans="1:23">
      <c r="A19" s="39"/>
      <c r="B19" s="115" t="s">
        <v>27</v>
      </c>
      <c r="C19" s="10">
        <f t="shared" si="2"/>
        <v>18245</v>
      </c>
      <c r="D19" s="20">
        <f t="shared" si="3"/>
        <v>4.6358171183486375E-2</v>
      </c>
      <c r="E19" s="28">
        <v>18187</v>
      </c>
      <c r="F19" s="38">
        <f t="shared" si="5"/>
        <v>4.6906836270974861E-2</v>
      </c>
      <c r="G19" s="33">
        <f>E19-'24년 3월'!E19</f>
        <v>2</v>
      </c>
      <c r="H19" s="51">
        <v>8980</v>
      </c>
      <c r="I19" s="38">
        <f t="shared" si="6"/>
        <v>2.3160685638827418E-2</v>
      </c>
      <c r="J19" s="51">
        <v>9207</v>
      </c>
      <c r="K19" s="38">
        <f t="shared" si="7"/>
        <v>2.3746150632147443E-2</v>
      </c>
      <c r="L19" s="28">
        <f t="shared" si="8"/>
        <v>58</v>
      </c>
      <c r="M19" s="11">
        <f t="shared" si="4"/>
        <v>9.9315068493150693E-3</v>
      </c>
      <c r="N19" s="96">
        <f>L19-'24년 3월'!L19</f>
        <v>1</v>
      </c>
      <c r="O19" s="73">
        <v>23</v>
      </c>
      <c r="P19" s="73">
        <v>35</v>
      </c>
      <c r="Q19" s="35">
        <v>6345</v>
      </c>
      <c r="R19" s="33">
        <f>Q19-'24년 3월'!Q19</f>
        <v>8</v>
      </c>
      <c r="S19" s="73">
        <v>2.87</v>
      </c>
      <c r="T19" s="117"/>
      <c r="U19" s="48"/>
      <c r="V19" s="28">
        <v>18422</v>
      </c>
      <c r="W19" s="35">
        <v>6404</v>
      </c>
    </row>
    <row r="20" spans="1:23">
      <c r="A20" s="39"/>
      <c r="B20" s="115" t="s">
        <v>34</v>
      </c>
      <c r="C20" s="10">
        <f t="shared" si="2"/>
        <v>26568</v>
      </c>
      <c r="D20" s="20">
        <f t="shared" si="3"/>
        <v>6.7505831296402641E-2</v>
      </c>
      <c r="E20" s="28">
        <v>26498</v>
      </c>
      <c r="F20" s="38">
        <f t="shared" si="5"/>
        <v>6.8342076621119033E-2</v>
      </c>
      <c r="G20" s="33">
        <f>E20-'24년 3월'!E20</f>
        <v>-55</v>
      </c>
      <c r="H20" s="51">
        <v>12808</v>
      </c>
      <c r="I20" s="38">
        <f t="shared" si="6"/>
        <v>3.3033637156136032E-2</v>
      </c>
      <c r="J20" s="51">
        <v>13690</v>
      </c>
      <c r="K20" s="38">
        <f t="shared" si="7"/>
        <v>3.5308439464983001E-2</v>
      </c>
      <c r="L20" s="28">
        <f t="shared" si="8"/>
        <v>70</v>
      </c>
      <c r="M20" s="11">
        <f t="shared" si="4"/>
        <v>1.1986301369863013E-2</v>
      </c>
      <c r="N20" s="96">
        <f>L20-'24년 3월'!L20</f>
        <v>0</v>
      </c>
      <c r="O20" s="73">
        <v>21</v>
      </c>
      <c r="P20" s="73">
        <v>49</v>
      </c>
      <c r="Q20" s="35">
        <v>9702</v>
      </c>
      <c r="R20" s="33">
        <f>Q20-'24년 3월'!Q20</f>
        <v>-19</v>
      </c>
      <c r="S20" s="73">
        <v>2.73</v>
      </c>
      <c r="T20" s="117"/>
      <c r="U20" s="48"/>
      <c r="V20" s="28">
        <v>26600</v>
      </c>
      <c r="W20" s="35">
        <v>9752</v>
      </c>
    </row>
    <row r="21" spans="1:23">
      <c r="A21" s="39"/>
      <c r="B21" s="118" t="s">
        <v>40</v>
      </c>
      <c r="C21" s="10">
        <f t="shared" si="2"/>
        <v>13257</v>
      </c>
      <c r="D21" s="20">
        <f t="shared" si="3"/>
        <v>3.3684312161111479E-2</v>
      </c>
      <c r="E21" s="29">
        <v>13116</v>
      </c>
      <c r="F21" s="38">
        <f t="shared" si="5"/>
        <v>3.3828012565574661E-2</v>
      </c>
      <c r="G21" s="33">
        <f>E21-'24년 3월'!E21</f>
        <v>-19</v>
      </c>
      <c r="H21" s="51">
        <v>6442</v>
      </c>
      <c r="I21" s="38">
        <f t="shared" si="6"/>
        <v>1.6614825933777978E-2</v>
      </c>
      <c r="J21" s="51">
        <v>6674</v>
      </c>
      <c r="K21" s="38">
        <f t="shared" si="7"/>
        <v>1.7213186631796683E-2</v>
      </c>
      <c r="L21" s="28">
        <f t="shared" si="8"/>
        <v>141</v>
      </c>
      <c r="M21" s="11">
        <f t="shared" si="4"/>
        <v>2.4143835616438358E-2</v>
      </c>
      <c r="N21" s="96">
        <f>L21-'24년 3월'!L21</f>
        <v>1</v>
      </c>
      <c r="O21" s="73">
        <v>63</v>
      </c>
      <c r="P21" s="73">
        <v>78</v>
      </c>
      <c r="Q21" s="36">
        <v>5944</v>
      </c>
      <c r="R21" s="33">
        <f>Q21-'24년 3월'!Q21</f>
        <v>17</v>
      </c>
      <c r="S21" s="74">
        <v>2.21</v>
      </c>
      <c r="T21" s="119"/>
      <c r="U21" s="48"/>
      <c r="V21" s="29">
        <v>13375</v>
      </c>
      <c r="W21" s="36">
        <v>6073</v>
      </c>
    </row>
    <row r="22" spans="1:23">
      <c r="A22" s="39"/>
      <c r="B22" s="118" t="s">
        <v>41</v>
      </c>
      <c r="C22" s="10">
        <f t="shared" si="2"/>
        <v>25074</v>
      </c>
      <c r="D22" s="20">
        <f t="shared" si="3"/>
        <v>6.3709771677431484E-2</v>
      </c>
      <c r="E22" s="29">
        <v>24918</v>
      </c>
      <c r="F22" s="38">
        <f t="shared" si="5"/>
        <v>6.4267033936336482E-2</v>
      </c>
      <c r="G22" s="33">
        <f>E22-'24년 3월'!E22</f>
        <v>-101</v>
      </c>
      <c r="H22" s="51">
        <v>11993</v>
      </c>
      <c r="I22" s="38">
        <f t="shared" si="6"/>
        <v>3.0931637290251363E-2</v>
      </c>
      <c r="J22" s="51">
        <v>12925</v>
      </c>
      <c r="K22" s="38">
        <f t="shared" si="7"/>
        <v>3.3335396646085119E-2</v>
      </c>
      <c r="L22" s="28">
        <f t="shared" si="8"/>
        <v>156</v>
      </c>
      <c r="M22" s="11">
        <f t="shared" si="4"/>
        <v>2.6712328767123289E-2</v>
      </c>
      <c r="N22" s="96">
        <f>L22-'24년 3월'!L22</f>
        <v>7</v>
      </c>
      <c r="O22" s="73">
        <v>59</v>
      </c>
      <c r="P22" s="73">
        <v>97</v>
      </c>
      <c r="Q22" s="36">
        <v>10188</v>
      </c>
      <c r="R22" s="33">
        <f>Q22-'24년 3월'!Q22</f>
        <v>-26</v>
      </c>
      <c r="S22" s="74">
        <v>2.4500000000000002</v>
      </c>
      <c r="T22" s="119"/>
      <c r="U22" s="48"/>
      <c r="V22" s="29">
        <v>25473</v>
      </c>
      <c r="W22" s="36">
        <v>10280</v>
      </c>
    </row>
    <row r="23" spans="1:23">
      <c r="A23" s="39"/>
      <c r="B23" s="118" t="s">
        <v>42</v>
      </c>
      <c r="C23" s="10">
        <f t="shared" si="2"/>
        <v>11270</v>
      </c>
      <c r="D23" s="20">
        <f t="shared" si="3"/>
        <v>2.8635603685277691E-2</v>
      </c>
      <c r="E23" s="29">
        <v>11211</v>
      </c>
      <c r="F23" s="38">
        <f t="shared" si="5"/>
        <v>2.8914749075377975E-2</v>
      </c>
      <c r="G23" s="33">
        <f>E23-'24년 3월'!E23</f>
        <v>15</v>
      </c>
      <c r="H23" s="51">
        <v>5534</v>
      </c>
      <c r="I23" s="38">
        <f t="shared" si="6"/>
        <v>1.4272965960497878E-2</v>
      </c>
      <c r="J23" s="51">
        <v>5677</v>
      </c>
      <c r="K23" s="38">
        <f t="shared" si="7"/>
        <v>1.4641783114880095E-2</v>
      </c>
      <c r="L23" s="28">
        <f t="shared" si="8"/>
        <v>59</v>
      </c>
      <c r="M23" s="11">
        <f t="shared" si="4"/>
        <v>1.0102739726027397E-2</v>
      </c>
      <c r="N23" s="96">
        <f>L23-'24년 3월'!L23</f>
        <v>-1</v>
      </c>
      <c r="O23" s="73">
        <v>24</v>
      </c>
      <c r="P23" s="73">
        <v>35</v>
      </c>
      <c r="Q23" s="36">
        <v>5308</v>
      </c>
      <c r="R23" s="33">
        <f>Q23-'24년 3월'!Q23</f>
        <v>20</v>
      </c>
      <c r="S23" s="74">
        <v>2.11</v>
      </c>
      <c r="T23" s="119"/>
      <c r="U23" s="48"/>
      <c r="V23" s="29">
        <v>11235</v>
      </c>
      <c r="W23" s="36">
        <v>5323</v>
      </c>
    </row>
    <row r="24" spans="1:23">
      <c r="A24" s="39"/>
      <c r="B24" s="115" t="s">
        <v>43</v>
      </c>
      <c r="C24" s="10">
        <f t="shared" si="2"/>
        <v>14428</v>
      </c>
      <c r="D24" s="20">
        <f t="shared" si="3"/>
        <v>3.6659670804896766E-2</v>
      </c>
      <c r="E24" s="28">
        <v>14342</v>
      </c>
      <c r="F24" s="38">
        <f t="shared" si="5"/>
        <v>3.699003935769074E-2</v>
      </c>
      <c r="G24" s="33">
        <f>E24-'24년 3월'!E24</f>
        <v>1178</v>
      </c>
      <c r="H24" s="51">
        <v>6973</v>
      </c>
      <c r="I24" s="38">
        <f t="shared" si="6"/>
        <v>1.7984349772777682E-2</v>
      </c>
      <c r="J24" s="51">
        <v>7369</v>
      </c>
      <c r="K24" s="38">
        <f t="shared" si="7"/>
        <v>1.9005689584913058E-2</v>
      </c>
      <c r="L24" s="28">
        <f t="shared" si="8"/>
        <v>86</v>
      </c>
      <c r="M24" s="11">
        <f t="shared" si="4"/>
        <v>1.4726027397260274E-2</v>
      </c>
      <c r="N24" s="96">
        <f>L24-'24년 3월'!L24</f>
        <v>1</v>
      </c>
      <c r="O24" s="73">
        <v>47</v>
      </c>
      <c r="P24" s="73">
        <v>39</v>
      </c>
      <c r="Q24" s="35">
        <v>5413</v>
      </c>
      <c r="R24" s="33">
        <f>Q24-'24년 3월'!Q24</f>
        <v>468</v>
      </c>
      <c r="S24" s="73">
        <v>2.65</v>
      </c>
      <c r="T24" s="117"/>
      <c r="U24" s="48"/>
      <c r="V24" s="28">
        <v>8925</v>
      </c>
      <c r="W24" s="35">
        <v>3139</v>
      </c>
    </row>
    <row r="25" spans="1:23">
      <c r="A25" s="39"/>
      <c r="B25" s="120" t="s">
        <v>28</v>
      </c>
      <c r="C25" s="10">
        <f t="shared" si="2"/>
        <v>23429</v>
      </c>
      <c r="D25" s="20">
        <f t="shared" si="3"/>
        <v>5.9530040704735672E-2</v>
      </c>
      <c r="E25" s="30">
        <v>23364</v>
      </c>
      <c r="F25" s="38">
        <f t="shared" si="5"/>
        <v>6.025904891598706E-2</v>
      </c>
      <c r="G25" s="33">
        <f>E25-'24년 3월'!E25</f>
        <v>-62</v>
      </c>
      <c r="H25" s="51">
        <v>11550</v>
      </c>
      <c r="I25" s="38">
        <f t="shared" si="6"/>
        <v>2.9789077853948406E-2</v>
      </c>
      <c r="J25" s="51">
        <v>11814</v>
      </c>
      <c r="K25" s="38">
        <f t="shared" si="7"/>
        <v>3.0469971062038657E-2</v>
      </c>
      <c r="L25" s="28">
        <f t="shared" si="8"/>
        <v>65</v>
      </c>
      <c r="M25" s="11">
        <f t="shared" si="4"/>
        <v>1.1130136986301369E-2</v>
      </c>
      <c r="N25" s="96">
        <f>L25-'24년 3월'!L25</f>
        <v>0</v>
      </c>
      <c r="O25" s="73">
        <v>24</v>
      </c>
      <c r="P25" s="73">
        <v>41</v>
      </c>
      <c r="Q25" s="37">
        <v>7921</v>
      </c>
      <c r="R25" s="33">
        <f>Q25-'24년 3월'!Q25</f>
        <v>-11</v>
      </c>
      <c r="S25" s="75">
        <v>2.95</v>
      </c>
      <c r="T25" s="121"/>
      <c r="U25" s="48"/>
      <c r="V25" s="30">
        <v>23623</v>
      </c>
      <c r="W25" s="37">
        <v>7957</v>
      </c>
    </row>
    <row r="26" spans="1:23">
      <c r="A26" s="76"/>
      <c r="B26" s="115" t="s">
        <v>29</v>
      </c>
      <c r="C26" s="10">
        <f t="shared" si="2"/>
        <v>27966</v>
      </c>
      <c r="D26" s="20">
        <f t="shared" si="3"/>
        <v>7.1057967405721026E-2</v>
      </c>
      <c r="E26" s="28">
        <v>27843</v>
      </c>
      <c r="F26" s="38">
        <f t="shared" si="5"/>
        <v>7.1811021185063675E-2</v>
      </c>
      <c r="G26" s="33">
        <f>E26-'24년 3월'!E26</f>
        <v>-118</v>
      </c>
      <c r="H26" s="51">
        <v>13536</v>
      </c>
      <c r="I26" s="38">
        <f t="shared" si="6"/>
        <v>3.491125176026369E-2</v>
      </c>
      <c r="J26" s="51">
        <v>14307</v>
      </c>
      <c r="K26" s="38">
        <f t="shared" si="7"/>
        <v>3.6899769424799986E-2</v>
      </c>
      <c r="L26" s="28">
        <f t="shared" si="8"/>
        <v>123</v>
      </c>
      <c r="M26" s="11">
        <f t="shared" si="4"/>
        <v>2.1061643835616439E-2</v>
      </c>
      <c r="N26" s="96">
        <f>L26-'24년 3월'!L26</f>
        <v>2</v>
      </c>
      <c r="O26" s="73">
        <v>34</v>
      </c>
      <c r="P26" s="73">
        <v>89</v>
      </c>
      <c r="Q26" s="35">
        <v>10747</v>
      </c>
      <c r="R26" s="33">
        <f>Q26-'24년 3월'!Q26</f>
        <v>-26</v>
      </c>
      <c r="S26" s="90">
        <v>2.59</v>
      </c>
      <c r="T26" s="122"/>
      <c r="U26" s="48"/>
      <c r="V26" s="28">
        <v>28470</v>
      </c>
      <c r="W26" s="35">
        <v>10826</v>
      </c>
    </row>
    <row r="27" spans="1:23">
      <c r="A27" s="77"/>
      <c r="B27" s="115" t="s">
        <v>30</v>
      </c>
      <c r="C27" s="10">
        <f t="shared" si="2"/>
        <v>36118</v>
      </c>
      <c r="D27" s="20">
        <f t="shared" si="3"/>
        <v>9.17711387670683E-2</v>
      </c>
      <c r="E27" s="28">
        <v>35990</v>
      </c>
      <c r="F27" s="38">
        <f t="shared" si="5"/>
        <v>9.2823282421091183E-2</v>
      </c>
      <c r="G27" s="33">
        <f>E27-'24년 3월'!E27</f>
        <v>-62</v>
      </c>
      <c r="H27" s="51">
        <v>17671</v>
      </c>
      <c r="I27" s="38">
        <f t="shared" si="6"/>
        <v>4.5575999546071194E-2</v>
      </c>
      <c r="J27" s="51">
        <v>18319</v>
      </c>
      <c r="K27" s="38">
        <f t="shared" si="7"/>
        <v>4.7247282875019989E-2</v>
      </c>
      <c r="L27" s="28">
        <f t="shared" si="8"/>
        <v>128</v>
      </c>
      <c r="M27" s="11">
        <f t="shared" si="4"/>
        <v>2.1917808219178082E-2</v>
      </c>
      <c r="N27" s="96">
        <f>L27-'24년 3월'!L27</f>
        <v>3</v>
      </c>
      <c r="O27" s="73">
        <v>42</v>
      </c>
      <c r="P27" s="73">
        <v>86</v>
      </c>
      <c r="Q27" s="35">
        <v>12795</v>
      </c>
      <c r="R27" s="33">
        <f>Q27-'24년 3월'!Q27</f>
        <v>-7</v>
      </c>
      <c r="S27" s="73">
        <v>2.81</v>
      </c>
      <c r="T27" s="123"/>
      <c r="U27" s="48"/>
      <c r="V27" s="28">
        <v>35257</v>
      </c>
      <c r="W27" s="35">
        <v>12436</v>
      </c>
    </row>
    <row r="28" spans="1:23">
      <c r="A28" s="77"/>
      <c r="B28" s="115" t="s">
        <v>31</v>
      </c>
      <c r="C28" s="10">
        <f t="shared" si="2"/>
        <v>21834</v>
      </c>
      <c r="D28" s="20">
        <f t="shared" si="3"/>
        <v>5.5477353226650677E-2</v>
      </c>
      <c r="E28" s="28">
        <v>21725</v>
      </c>
      <c r="F28" s="38">
        <f t="shared" si="5"/>
        <v>5.6031836915760101E-2</v>
      </c>
      <c r="G28" s="33">
        <f>E28-'24년 3월'!E28</f>
        <v>-45</v>
      </c>
      <c r="H28" s="51">
        <v>10578</v>
      </c>
      <c r="I28" s="38">
        <f t="shared" si="6"/>
        <v>2.7282152860525218E-2</v>
      </c>
      <c r="J28" s="51">
        <v>11147</v>
      </c>
      <c r="K28" s="38">
        <f t="shared" si="7"/>
        <v>2.8749684055234884E-2</v>
      </c>
      <c r="L28" s="28">
        <f t="shared" si="8"/>
        <v>109</v>
      </c>
      <c r="M28" s="11">
        <f t="shared" si="4"/>
        <v>1.8664383561643835E-2</v>
      </c>
      <c r="N28" s="96">
        <f>L28-'24년 3월'!L28</f>
        <v>3</v>
      </c>
      <c r="O28" s="73">
        <v>34</v>
      </c>
      <c r="P28" s="73">
        <v>75</v>
      </c>
      <c r="Q28" s="35">
        <v>8409</v>
      </c>
      <c r="R28" s="33">
        <f>Q28-'24년 3월'!Q28</f>
        <v>-22</v>
      </c>
      <c r="S28" s="73">
        <v>2.58</v>
      </c>
      <c r="T28" s="123"/>
      <c r="U28" s="48"/>
      <c r="V28" s="28">
        <v>21830</v>
      </c>
      <c r="W28" s="35">
        <v>8390</v>
      </c>
    </row>
    <row r="29" spans="1:23">
      <c r="A29" s="77"/>
      <c r="B29" s="115" t="s">
        <v>44</v>
      </c>
      <c r="C29" s="10">
        <f t="shared" si="2"/>
        <v>28765</v>
      </c>
      <c r="D29" s="20">
        <f>C29/$C$8</f>
        <v>7.3088122449601847E-2</v>
      </c>
      <c r="E29" s="28">
        <v>28486</v>
      </c>
      <c r="F29" s="38">
        <f t="shared" si="5"/>
        <v>7.3469408809313796E-2</v>
      </c>
      <c r="G29" s="33">
        <f>E29-'24년 3월'!E29</f>
        <v>-30</v>
      </c>
      <c r="H29" s="51">
        <v>13976</v>
      </c>
      <c r="I29" s="38">
        <f t="shared" si="6"/>
        <v>3.6046073773747439E-2</v>
      </c>
      <c r="J29" s="51">
        <v>14510</v>
      </c>
      <c r="K29" s="38">
        <f t="shared" si="7"/>
        <v>3.742333503556635E-2</v>
      </c>
      <c r="L29" s="28">
        <f t="shared" si="8"/>
        <v>279</v>
      </c>
      <c r="M29" s="11">
        <f t="shared" si="4"/>
        <v>4.7773972602739724E-2</v>
      </c>
      <c r="N29" s="96">
        <f>L29-'24년 3월'!L29</f>
        <v>1</v>
      </c>
      <c r="O29" s="73">
        <v>123</v>
      </c>
      <c r="P29" s="73">
        <v>156</v>
      </c>
      <c r="Q29" s="35">
        <v>11998</v>
      </c>
      <c r="R29" s="33">
        <f>Q29-'24년 3월'!Q29</f>
        <v>-39</v>
      </c>
      <c r="S29" s="73">
        <v>2.37</v>
      </c>
      <c r="T29" s="123"/>
      <c r="U29" s="48"/>
      <c r="V29" s="28">
        <v>28108</v>
      </c>
      <c r="W29" s="35">
        <v>11868</v>
      </c>
    </row>
    <row r="30" spans="1:23">
      <c r="A30" s="77"/>
      <c r="B30" s="115" t="s">
        <v>32</v>
      </c>
      <c r="C30" s="10">
        <f t="shared" si="2"/>
        <v>18960</v>
      </c>
      <c r="D30" s="20">
        <f t="shared" si="3"/>
        <v>4.8174893156421032E-2</v>
      </c>
      <c r="E30" s="28">
        <v>18901</v>
      </c>
      <c r="F30" s="38">
        <f t="shared" si="5"/>
        <v>4.8748342901946219E-2</v>
      </c>
      <c r="G30" s="33">
        <f>E30-'24년 3월'!E30</f>
        <v>-20</v>
      </c>
      <c r="H30" s="51">
        <v>9281</v>
      </c>
      <c r="I30" s="38">
        <f t="shared" si="6"/>
        <v>2.3937007061687894E-2</v>
      </c>
      <c r="J30" s="51">
        <v>9620</v>
      </c>
      <c r="K30" s="38">
        <f t="shared" si="7"/>
        <v>2.4811335840258325E-2</v>
      </c>
      <c r="L30" s="28">
        <f t="shared" si="8"/>
        <v>59</v>
      </c>
      <c r="M30" s="11">
        <f t="shared" si="4"/>
        <v>1.0102739726027397E-2</v>
      </c>
      <c r="N30" s="96">
        <f>L30-'24년 3월'!L30</f>
        <v>0</v>
      </c>
      <c r="O30" s="73">
        <v>20</v>
      </c>
      <c r="P30" s="73">
        <v>39</v>
      </c>
      <c r="Q30" s="35">
        <v>6971</v>
      </c>
      <c r="R30" s="33">
        <f>Q30-'24년 3월'!Q30</f>
        <v>-2</v>
      </c>
      <c r="S30" s="73">
        <v>2.71</v>
      </c>
      <c r="T30" s="123"/>
      <c r="U30" s="48"/>
      <c r="V30" s="28">
        <v>18980</v>
      </c>
      <c r="W30" s="35">
        <v>6924</v>
      </c>
    </row>
    <row r="31" spans="1:23">
      <c r="A31" s="77"/>
      <c r="B31" s="124" t="s">
        <v>45</v>
      </c>
      <c r="C31" s="10">
        <f t="shared" si="2"/>
        <v>11282</v>
      </c>
      <c r="D31" s="20">
        <f t="shared" si="3"/>
        <v>2.8666094123984288E-2</v>
      </c>
      <c r="E31" s="28">
        <v>11242</v>
      </c>
      <c r="F31" s="38">
        <f t="shared" si="5"/>
        <v>2.8994702444509784E-2</v>
      </c>
      <c r="G31" s="33">
        <f>E31-'24년 3월'!E31</f>
        <v>-15</v>
      </c>
      <c r="H31" s="51">
        <v>5539</v>
      </c>
      <c r="I31" s="38">
        <f t="shared" si="6"/>
        <v>1.4285861665196556E-2</v>
      </c>
      <c r="J31" s="51">
        <v>5703</v>
      </c>
      <c r="K31" s="38">
        <f t="shared" si="7"/>
        <v>1.4708840779313226E-2</v>
      </c>
      <c r="L31" s="28">
        <f t="shared" si="8"/>
        <v>40</v>
      </c>
      <c r="M31" s="11">
        <f t="shared" si="4"/>
        <v>6.8493150684931503E-3</v>
      </c>
      <c r="N31" s="96">
        <f>L31-'24년 3월'!L31</f>
        <v>1</v>
      </c>
      <c r="O31" s="73">
        <v>12</v>
      </c>
      <c r="P31" s="73">
        <v>28</v>
      </c>
      <c r="Q31" s="35">
        <v>4383</v>
      </c>
      <c r="R31" s="33">
        <f>Q31-'24년 3월'!Q31</f>
        <v>0</v>
      </c>
      <c r="S31" s="73">
        <v>2.56</v>
      </c>
      <c r="T31" s="122"/>
      <c r="U31" s="48"/>
      <c r="V31" s="28">
        <v>11256</v>
      </c>
      <c r="W31" s="35">
        <v>4368</v>
      </c>
    </row>
    <row r="32" spans="1:23" ht="17.25" thickBot="1">
      <c r="A32" s="78"/>
      <c r="B32" s="125" t="s">
        <v>46</v>
      </c>
      <c r="C32" s="126">
        <f t="shared" si="2"/>
        <v>28437</v>
      </c>
      <c r="D32" s="127">
        <f t="shared" si="3"/>
        <v>7.2254717124954904E-2</v>
      </c>
      <c r="E32" s="128">
        <v>28358</v>
      </c>
      <c r="F32" s="129">
        <f t="shared" si="5"/>
        <v>7.3139278769027607E-2</v>
      </c>
      <c r="G32" s="130">
        <f>E32-'24년 3월'!E32</f>
        <v>-70</v>
      </c>
      <c r="H32" s="131">
        <v>13628</v>
      </c>
      <c r="I32" s="129">
        <f t="shared" si="6"/>
        <v>3.5148532726719382E-2</v>
      </c>
      <c r="J32" s="131">
        <v>14730</v>
      </c>
      <c r="K32" s="129">
        <f t="shared" si="7"/>
        <v>3.7990746042308225E-2</v>
      </c>
      <c r="L32" s="128">
        <f t="shared" si="8"/>
        <v>79</v>
      </c>
      <c r="M32" s="132">
        <f t="shared" si="4"/>
        <v>1.3527397260273973E-2</v>
      </c>
      <c r="N32" s="133">
        <f>L32-'24년 3월'!L32</f>
        <v>-2</v>
      </c>
      <c r="O32" s="134">
        <v>27</v>
      </c>
      <c r="P32" s="134">
        <v>52</v>
      </c>
      <c r="Q32" s="135">
        <v>10799</v>
      </c>
      <c r="R32" s="130">
        <f>Q32-'24년 3월'!Q32</f>
        <v>-12</v>
      </c>
      <c r="S32" s="134">
        <v>2.63</v>
      </c>
      <c r="T32" s="136"/>
      <c r="U32" s="48"/>
      <c r="V32" s="28">
        <v>28539</v>
      </c>
      <c r="W32" s="35">
        <v>10819</v>
      </c>
    </row>
    <row r="33" spans="1:21">
      <c r="A33" s="79"/>
      <c r="B33" s="80"/>
      <c r="C33" s="41"/>
      <c r="D33" s="41"/>
      <c r="E33" s="81"/>
      <c r="F33" s="81"/>
      <c r="G33" s="82"/>
      <c r="H33" s="81"/>
      <c r="I33" s="83"/>
      <c r="J33" s="81"/>
      <c r="K33" s="83"/>
      <c r="L33" s="47"/>
      <c r="N33" s="48"/>
      <c r="Q33" s="84"/>
      <c r="R33" s="85"/>
      <c r="S33" s="86"/>
      <c r="T33" s="87"/>
      <c r="U33" s="48"/>
    </row>
    <row r="34" spans="1:21">
      <c r="A34" s="39"/>
      <c r="B34" s="40" t="s">
        <v>60</v>
      </c>
      <c r="E34" s="41"/>
      <c r="F34" s="41"/>
      <c r="G34" s="41"/>
      <c r="H34" s="42"/>
      <c r="I34" s="43"/>
      <c r="J34" s="44"/>
      <c r="K34" s="44"/>
      <c r="Q34" s="45"/>
      <c r="R34" s="46"/>
      <c r="S34" s="47"/>
      <c r="U34" s="48"/>
    </row>
    <row r="35" spans="1:21">
      <c r="A35" s="39"/>
      <c r="B35" s="88"/>
      <c r="E35" s="41"/>
      <c r="F35" s="41"/>
      <c r="G35" s="41"/>
      <c r="H35" s="42"/>
      <c r="I35" s="43"/>
      <c r="J35" s="44"/>
      <c r="K35" s="44"/>
      <c r="Q35" s="45"/>
      <c r="R35" s="46"/>
      <c r="S35" s="47"/>
      <c r="U35" s="48"/>
    </row>
  </sheetData>
  <mergeCells count="12">
    <mergeCell ref="Q6:Q7"/>
    <mergeCell ref="R6:R7"/>
    <mergeCell ref="B2:T2"/>
    <mergeCell ref="B5:B7"/>
    <mergeCell ref="E5:K5"/>
    <mergeCell ref="Q5:R5"/>
    <mergeCell ref="S5:S7"/>
    <mergeCell ref="T5:T7"/>
    <mergeCell ref="C6:C7"/>
    <mergeCell ref="D6:D7"/>
    <mergeCell ref="E6:K6"/>
    <mergeCell ref="L6:P6"/>
  </mergeCells>
  <phoneticPr fontId="2" type="noConversion"/>
  <pageMargins left="0.7" right="0.7" top="0.75" bottom="0.75" header="0.3" footer="0.3"/>
  <pageSetup paperSize="9" orientation="portrait" r:id="rId1"/>
  <ignoredErrors>
    <ignoredError sqref="N8 L8:L3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5BBB-F3DD-48E3-A806-78F5603BB05B}">
  <sheetPr>
    <tabColor theme="7"/>
  </sheetPr>
  <dimension ref="A1:X35"/>
  <sheetViews>
    <sheetView zoomScale="130" zoomScaleNormal="13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2" sqref="B2:T2"/>
    </sheetView>
  </sheetViews>
  <sheetFormatPr defaultRowHeight="16.5"/>
  <cols>
    <col min="1" max="1" width="1.25" customWidth="1"/>
    <col min="6" max="6" width="10" customWidth="1"/>
    <col min="13" max="13" width="9.875" customWidth="1"/>
    <col min="21" max="21" width="23.75" customWidth="1"/>
    <col min="22" max="23" width="9.625" hidden="1" customWidth="1"/>
  </cols>
  <sheetData>
    <row r="1" spans="1:24">
      <c r="A1" s="39"/>
      <c r="B1" s="52"/>
      <c r="C1" s="1"/>
      <c r="D1" s="1"/>
      <c r="E1" s="53"/>
      <c r="F1" s="53"/>
      <c r="G1" s="53"/>
      <c r="H1" s="53"/>
      <c r="I1" s="53"/>
      <c r="J1" s="53"/>
      <c r="K1" s="53"/>
      <c r="L1" s="2"/>
      <c r="M1" s="2"/>
      <c r="N1" s="2"/>
      <c r="O1" s="2"/>
      <c r="P1" s="2"/>
      <c r="Q1" s="53"/>
      <c r="R1" s="54"/>
      <c r="S1" s="55"/>
      <c r="T1" s="53"/>
      <c r="U1" s="48"/>
    </row>
    <row r="2" spans="1:24" ht="31.5">
      <c r="A2" s="56"/>
      <c r="B2" s="149" t="s">
        <v>58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48"/>
    </row>
    <row r="3" spans="1:24" ht="26.25">
      <c r="A3" s="56"/>
      <c r="B3" s="57"/>
      <c r="C3" s="3"/>
      <c r="D3" s="3"/>
      <c r="E3" s="58"/>
      <c r="F3" s="58"/>
      <c r="G3" s="58"/>
      <c r="H3" s="58"/>
      <c r="I3" s="58"/>
      <c r="J3" s="58"/>
      <c r="K3" s="58"/>
      <c r="L3" s="4"/>
      <c r="M3" s="4"/>
      <c r="O3" s="26"/>
      <c r="P3" s="26"/>
      <c r="Q3" s="58"/>
      <c r="R3" s="59"/>
      <c r="S3" s="60"/>
      <c r="T3" s="58"/>
      <c r="U3" s="48"/>
    </row>
    <row r="4" spans="1:24" ht="18" thickBot="1">
      <c r="A4" s="39"/>
      <c r="B4" s="61" t="s">
        <v>59</v>
      </c>
      <c r="C4" s="5"/>
      <c r="D4" s="5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64"/>
      <c r="S4" s="65"/>
      <c r="T4" s="66" t="s">
        <v>11</v>
      </c>
      <c r="U4" s="48"/>
    </row>
    <row r="5" spans="1:24">
      <c r="A5" s="39"/>
      <c r="B5" s="150" t="s">
        <v>12</v>
      </c>
      <c r="C5" s="111"/>
      <c r="D5" s="111"/>
      <c r="E5" s="153"/>
      <c r="F5" s="153"/>
      <c r="G5" s="153"/>
      <c r="H5" s="153"/>
      <c r="I5" s="153"/>
      <c r="J5" s="153"/>
      <c r="K5" s="153"/>
      <c r="L5" s="112"/>
      <c r="M5" s="112"/>
      <c r="N5" s="112"/>
      <c r="O5" s="112"/>
      <c r="P5" s="112"/>
      <c r="Q5" s="154" t="s">
        <v>13</v>
      </c>
      <c r="R5" s="153"/>
      <c r="S5" s="155" t="s">
        <v>37</v>
      </c>
      <c r="T5" s="158" t="s">
        <v>48</v>
      </c>
      <c r="U5" s="48"/>
    </row>
    <row r="6" spans="1:24">
      <c r="A6" s="39"/>
      <c r="B6" s="151"/>
      <c r="C6" s="161" t="s">
        <v>33</v>
      </c>
      <c r="D6" s="163" t="s">
        <v>14</v>
      </c>
      <c r="E6" s="165" t="s">
        <v>15</v>
      </c>
      <c r="F6" s="166"/>
      <c r="G6" s="166"/>
      <c r="H6" s="166"/>
      <c r="I6" s="166"/>
      <c r="J6" s="166"/>
      <c r="K6" s="167"/>
      <c r="L6" s="165" t="s">
        <v>0</v>
      </c>
      <c r="M6" s="169"/>
      <c r="N6" s="169"/>
      <c r="O6" s="169"/>
      <c r="P6" s="169"/>
      <c r="Q6" s="145" t="s">
        <v>16</v>
      </c>
      <c r="R6" s="147" t="s">
        <v>17</v>
      </c>
      <c r="S6" s="156"/>
      <c r="T6" s="159"/>
      <c r="U6" s="48"/>
    </row>
    <row r="7" spans="1:24" ht="29.25" thickBot="1">
      <c r="A7" s="39"/>
      <c r="B7" s="152"/>
      <c r="C7" s="162"/>
      <c r="D7" s="164"/>
      <c r="E7" s="103" t="s">
        <v>18</v>
      </c>
      <c r="F7" s="67" t="s">
        <v>19</v>
      </c>
      <c r="G7" s="68" t="s">
        <v>17</v>
      </c>
      <c r="H7" s="69" t="s">
        <v>20</v>
      </c>
      <c r="I7" s="68" t="s">
        <v>50</v>
      </c>
      <c r="J7" s="69" t="s">
        <v>21</v>
      </c>
      <c r="K7" s="68" t="s">
        <v>49</v>
      </c>
      <c r="L7" s="109" t="s">
        <v>22</v>
      </c>
      <c r="M7" s="68" t="s">
        <v>23</v>
      </c>
      <c r="N7" s="68" t="s">
        <v>17</v>
      </c>
      <c r="O7" s="110" t="s">
        <v>24</v>
      </c>
      <c r="P7" s="109" t="s">
        <v>25</v>
      </c>
      <c r="Q7" s="146"/>
      <c r="R7" s="148"/>
      <c r="S7" s="157"/>
      <c r="T7" s="160"/>
      <c r="U7" s="48"/>
      <c r="V7" s="70" t="s">
        <v>38</v>
      </c>
      <c r="W7" s="70" t="s">
        <v>39</v>
      </c>
    </row>
    <row r="8" spans="1:24" ht="17.25" thickTop="1">
      <c r="A8" s="39"/>
      <c r="B8" s="113" t="s">
        <v>26</v>
      </c>
      <c r="C8" s="8">
        <f>SUM(C9:C32)</f>
        <v>393254</v>
      </c>
      <c r="D8" s="19">
        <f>SUM(D9:D32)</f>
        <v>1.0000000000000002</v>
      </c>
      <c r="E8" s="104">
        <v>387411</v>
      </c>
      <c r="F8" s="19">
        <f>SUM(F9:F32)</f>
        <v>0.99999999999999989</v>
      </c>
      <c r="G8" s="32">
        <f>SUM(G9:G32)</f>
        <v>218</v>
      </c>
      <c r="H8" s="105">
        <v>192907</v>
      </c>
      <c r="I8" s="106">
        <f t="shared" ref="I8:K8" si="0">SUM(I9:I32)</f>
        <v>0.49793888144631926</v>
      </c>
      <c r="J8" s="105">
        <v>194504</v>
      </c>
      <c r="K8" s="106">
        <f t="shared" si="0"/>
        <v>0.50206111855368074</v>
      </c>
      <c r="L8" s="104">
        <f>SUM(O8:P8)</f>
        <v>5843</v>
      </c>
      <c r="M8" s="106">
        <f t="shared" ref="M8" si="1">SUM(M9:M32)</f>
        <v>1</v>
      </c>
      <c r="N8" s="96">
        <f>L8-'24년 2월'!L8</f>
        <v>31</v>
      </c>
      <c r="O8" s="31">
        <v>3556</v>
      </c>
      <c r="P8" s="31">
        <v>2287</v>
      </c>
      <c r="Q8" s="107">
        <v>161711</v>
      </c>
      <c r="R8" s="32">
        <f>SUM(R9:R32)</f>
        <v>408</v>
      </c>
      <c r="S8" s="108">
        <v>2.4</v>
      </c>
      <c r="T8" s="114"/>
      <c r="U8" s="92"/>
      <c r="V8" s="49">
        <v>386192</v>
      </c>
      <c r="W8" s="34">
        <v>160562</v>
      </c>
      <c r="X8" s="25"/>
    </row>
    <row r="9" spans="1:24">
      <c r="A9" s="39"/>
      <c r="B9" s="115" t="s">
        <v>1</v>
      </c>
      <c r="C9" s="10">
        <f t="shared" ref="C9:C32" si="2">E9+L9</f>
        <v>42605</v>
      </c>
      <c r="D9" s="20">
        <f t="shared" ref="D9:D32" si="3">C9/$C$8</f>
        <v>0.10833964816632508</v>
      </c>
      <c r="E9" s="28">
        <v>40835</v>
      </c>
      <c r="F9" s="38">
        <f>E9/$E$8</f>
        <v>0.10540485427620795</v>
      </c>
      <c r="G9" s="33">
        <f>E9-'24년 2월'!E9</f>
        <v>-51</v>
      </c>
      <c r="H9" s="51">
        <v>21213</v>
      </c>
      <c r="I9" s="38">
        <f>H9/$E$8</f>
        <v>5.4755801977744566E-2</v>
      </c>
      <c r="J9" s="51">
        <v>19622</v>
      </c>
      <c r="K9" s="38">
        <f>J9/$E$8</f>
        <v>5.0649052298463386E-2</v>
      </c>
      <c r="L9" s="28">
        <f>SUM(O9:P9)</f>
        <v>1770</v>
      </c>
      <c r="M9" s="11">
        <f t="shared" ref="M9:M32" si="4">L9/$L$8</f>
        <v>0.30292657881225399</v>
      </c>
      <c r="N9" s="96">
        <f>L9-'24년 2월'!L9</f>
        <v>29</v>
      </c>
      <c r="O9" s="73">
        <v>921</v>
      </c>
      <c r="P9" s="73">
        <v>849</v>
      </c>
      <c r="Q9" s="35">
        <v>20404</v>
      </c>
      <c r="R9" s="33">
        <f>Q9-'24년 2월'!Q9</f>
        <v>87</v>
      </c>
      <c r="S9" s="90">
        <v>2</v>
      </c>
      <c r="T9" s="116"/>
      <c r="U9" s="48"/>
      <c r="V9" s="28">
        <v>41784</v>
      </c>
      <c r="W9" s="35">
        <v>20662</v>
      </c>
    </row>
    <row r="10" spans="1:24">
      <c r="A10" s="39"/>
      <c r="B10" s="115" t="s">
        <v>2</v>
      </c>
      <c r="C10" s="10">
        <f t="shared" si="2"/>
        <v>2533</v>
      </c>
      <c r="D10" s="20">
        <f t="shared" si="3"/>
        <v>6.4411296515737917E-3</v>
      </c>
      <c r="E10" s="28">
        <v>2452</v>
      </c>
      <c r="F10" s="38">
        <f t="shared" ref="F10:F32" si="5">E10/$E$8</f>
        <v>6.3291956087978916E-3</v>
      </c>
      <c r="G10" s="33">
        <f>E10-'24년 2월'!E10</f>
        <v>-21</v>
      </c>
      <c r="H10" s="51">
        <v>1405</v>
      </c>
      <c r="I10" s="38">
        <f t="shared" ref="I10:I32" si="6">H10/$E$8</f>
        <v>3.6266394087932454E-3</v>
      </c>
      <c r="J10" s="51">
        <v>1047</v>
      </c>
      <c r="K10" s="38">
        <f t="shared" ref="K10:K32" si="7">J10/$E$8</f>
        <v>2.7025562000046461E-3</v>
      </c>
      <c r="L10" s="28">
        <f t="shared" ref="L10:L32" si="8">SUM(O10:P10)</f>
        <v>81</v>
      </c>
      <c r="M10" s="11">
        <f t="shared" si="4"/>
        <v>1.3862741742255691E-2</v>
      </c>
      <c r="N10" s="96">
        <f>L10-'24년 2월'!L10</f>
        <v>4</v>
      </c>
      <c r="O10" s="73">
        <v>51</v>
      </c>
      <c r="P10" s="73">
        <v>30</v>
      </c>
      <c r="Q10" s="35">
        <v>1488</v>
      </c>
      <c r="R10" s="33">
        <f>Q10-'24년 2월'!Q10</f>
        <v>-2</v>
      </c>
      <c r="S10" s="73">
        <v>1.65</v>
      </c>
      <c r="T10" s="116"/>
      <c r="U10" s="48"/>
      <c r="V10" s="28">
        <v>2567</v>
      </c>
      <c r="W10" s="35">
        <v>1558</v>
      </c>
      <c r="X10" s="25"/>
    </row>
    <row r="11" spans="1:24">
      <c r="A11" s="39"/>
      <c r="B11" s="115" t="s">
        <v>3</v>
      </c>
      <c r="C11" s="10">
        <f t="shared" si="2"/>
        <v>2995</v>
      </c>
      <c r="D11" s="20">
        <f t="shared" si="3"/>
        <v>7.615942876614097E-3</v>
      </c>
      <c r="E11" s="28">
        <v>2801</v>
      </c>
      <c r="F11" s="38">
        <f t="shared" si="5"/>
        <v>7.2300476754661074E-3</v>
      </c>
      <c r="G11" s="33">
        <f>E11-'24년 2월'!E11</f>
        <v>-7</v>
      </c>
      <c r="H11" s="51">
        <v>1465</v>
      </c>
      <c r="I11" s="38">
        <f t="shared" si="6"/>
        <v>3.7815136895958039E-3</v>
      </c>
      <c r="J11" s="51">
        <v>1336</v>
      </c>
      <c r="K11" s="38">
        <f t="shared" si="7"/>
        <v>3.4485339858703031E-3</v>
      </c>
      <c r="L11" s="28">
        <f t="shared" si="8"/>
        <v>194</v>
      </c>
      <c r="M11" s="11">
        <f t="shared" si="4"/>
        <v>3.3202122197501287E-2</v>
      </c>
      <c r="N11" s="96">
        <f>L11-'24년 2월'!L11</f>
        <v>-2</v>
      </c>
      <c r="O11" s="73">
        <v>157</v>
      </c>
      <c r="P11" s="73">
        <v>37</v>
      </c>
      <c r="Q11" s="35">
        <v>1637</v>
      </c>
      <c r="R11" s="33">
        <f>Q11-'24년 2월'!Q11</f>
        <v>-1</v>
      </c>
      <c r="S11" s="73">
        <v>1.71</v>
      </c>
      <c r="T11" s="116"/>
      <c r="U11" s="48"/>
      <c r="V11" s="28">
        <v>2905</v>
      </c>
      <c r="W11" s="35">
        <v>1681</v>
      </c>
    </row>
    <row r="12" spans="1:24">
      <c r="A12" s="39"/>
      <c r="B12" s="115" t="s">
        <v>4</v>
      </c>
      <c r="C12" s="10">
        <f t="shared" si="2"/>
        <v>5824</v>
      </c>
      <c r="D12" s="20">
        <f t="shared" si="3"/>
        <v>1.48097667156596E-2</v>
      </c>
      <c r="E12" s="28">
        <v>5512</v>
      </c>
      <c r="F12" s="38">
        <f t="shared" si="5"/>
        <v>1.4227783929728377E-2</v>
      </c>
      <c r="G12" s="33">
        <f>E12-'24년 2월'!E12</f>
        <v>-46</v>
      </c>
      <c r="H12" s="51">
        <v>3038</v>
      </c>
      <c r="I12" s="38">
        <f t="shared" si="6"/>
        <v>7.8418010846362136E-3</v>
      </c>
      <c r="J12" s="51">
        <v>2474</v>
      </c>
      <c r="K12" s="38">
        <f t="shared" si="7"/>
        <v>6.385982845092163E-3</v>
      </c>
      <c r="L12" s="28">
        <f t="shared" si="8"/>
        <v>312</v>
      </c>
      <c r="M12" s="11">
        <f t="shared" si="4"/>
        <v>5.3397227451651548E-2</v>
      </c>
      <c r="N12" s="96">
        <f>L12-'24년 2월'!L12</f>
        <v>-2</v>
      </c>
      <c r="O12" s="73">
        <v>255</v>
      </c>
      <c r="P12" s="73">
        <v>57</v>
      </c>
      <c r="Q12" s="35">
        <v>3097</v>
      </c>
      <c r="R12" s="33">
        <f>Q12-'24년 2월'!Q12</f>
        <v>-18</v>
      </c>
      <c r="S12" s="73">
        <v>1.78</v>
      </c>
      <c r="T12" s="116"/>
      <c r="U12" s="48"/>
      <c r="V12" s="28">
        <v>5701</v>
      </c>
      <c r="W12" s="35">
        <v>3187</v>
      </c>
    </row>
    <row r="13" spans="1:24">
      <c r="A13" s="39"/>
      <c r="B13" s="115" t="s">
        <v>5</v>
      </c>
      <c r="C13" s="10">
        <f t="shared" si="2"/>
        <v>8648</v>
      </c>
      <c r="D13" s="20">
        <f t="shared" si="3"/>
        <v>2.1990876125862674E-2</v>
      </c>
      <c r="E13" s="28">
        <v>8367</v>
      </c>
      <c r="F13" s="38">
        <f t="shared" si="5"/>
        <v>2.1597218457916786E-2</v>
      </c>
      <c r="G13" s="33">
        <f>E13-'24년 2월'!E13</f>
        <v>-22</v>
      </c>
      <c r="H13" s="51">
        <v>4482</v>
      </c>
      <c r="I13" s="38">
        <f t="shared" si="6"/>
        <v>1.1569108775951121E-2</v>
      </c>
      <c r="J13" s="51">
        <v>3885</v>
      </c>
      <c r="K13" s="38">
        <f t="shared" si="7"/>
        <v>1.0028109681965665E-2</v>
      </c>
      <c r="L13" s="28">
        <f t="shared" si="8"/>
        <v>281</v>
      </c>
      <c r="M13" s="11">
        <f t="shared" si="4"/>
        <v>4.8091733698442579E-2</v>
      </c>
      <c r="N13" s="96">
        <f>L13-'24년 2월'!L13</f>
        <v>-3</v>
      </c>
      <c r="O13" s="73">
        <v>186</v>
      </c>
      <c r="P13" s="73">
        <v>95</v>
      </c>
      <c r="Q13" s="35">
        <v>4767</v>
      </c>
      <c r="R13" s="33">
        <f>Q13-'24년 2월'!Q13</f>
        <v>0</v>
      </c>
      <c r="S13" s="73">
        <v>1.76</v>
      </c>
      <c r="T13" s="116"/>
      <c r="U13" s="48"/>
      <c r="V13" s="28">
        <v>8518</v>
      </c>
      <c r="W13" s="35">
        <v>4795</v>
      </c>
    </row>
    <row r="14" spans="1:24">
      <c r="A14" s="39"/>
      <c r="B14" s="115" t="s">
        <v>6</v>
      </c>
      <c r="C14" s="10">
        <f t="shared" si="2"/>
        <v>7015</v>
      </c>
      <c r="D14" s="20">
        <f t="shared" si="3"/>
        <v>1.7838343665925838E-2</v>
      </c>
      <c r="E14" s="28">
        <v>6572</v>
      </c>
      <c r="F14" s="38">
        <f t="shared" si="5"/>
        <v>1.696389622390691E-2</v>
      </c>
      <c r="G14" s="33">
        <f>E14-'24년 2월'!E14</f>
        <v>-28</v>
      </c>
      <c r="H14" s="51">
        <v>3853</v>
      </c>
      <c r="I14" s="38">
        <f t="shared" si="6"/>
        <v>9.9455100655376338E-3</v>
      </c>
      <c r="J14" s="51">
        <v>2719</v>
      </c>
      <c r="K14" s="38">
        <f t="shared" si="7"/>
        <v>7.0183861583692775E-3</v>
      </c>
      <c r="L14" s="28">
        <f t="shared" si="8"/>
        <v>443</v>
      </c>
      <c r="M14" s="11">
        <f t="shared" si="4"/>
        <v>7.5817217182953964E-2</v>
      </c>
      <c r="N14" s="96">
        <f>L14-'24년 2월'!L14</f>
        <v>-2</v>
      </c>
      <c r="O14" s="73">
        <v>325</v>
      </c>
      <c r="P14" s="73">
        <v>118</v>
      </c>
      <c r="Q14" s="35">
        <v>4114</v>
      </c>
      <c r="R14" s="33">
        <f>Q14-'24년 2월'!Q14</f>
        <v>7</v>
      </c>
      <c r="S14" s="90">
        <v>1.6</v>
      </c>
      <c r="T14" s="116"/>
      <c r="U14" s="48"/>
      <c r="V14" s="28">
        <v>6785</v>
      </c>
      <c r="W14" s="35">
        <v>4218</v>
      </c>
    </row>
    <row r="15" spans="1:24">
      <c r="A15" s="39"/>
      <c r="B15" s="115" t="s">
        <v>7</v>
      </c>
      <c r="C15" s="10">
        <f t="shared" si="2"/>
        <v>7078</v>
      </c>
      <c r="D15" s="20">
        <f t="shared" si="3"/>
        <v>1.7998545469340425E-2</v>
      </c>
      <c r="E15" s="28">
        <v>6846</v>
      </c>
      <c r="F15" s="38">
        <f t="shared" si="5"/>
        <v>1.7671155439571928E-2</v>
      </c>
      <c r="G15" s="33">
        <f>E15-'24년 2월'!E15</f>
        <v>-28</v>
      </c>
      <c r="H15" s="51">
        <v>3742</v>
      </c>
      <c r="I15" s="38">
        <f t="shared" si="6"/>
        <v>9.6589926460529003E-3</v>
      </c>
      <c r="J15" s="51">
        <v>3104</v>
      </c>
      <c r="K15" s="38">
        <f t="shared" si="7"/>
        <v>8.012162793519028E-3</v>
      </c>
      <c r="L15" s="28">
        <f t="shared" si="8"/>
        <v>232</v>
      </c>
      <c r="M15" s="11">
        <f t="shared" si="4"/>
        <v>3.9705630669176796E-2</v>
      </c>
      <c r="N15" s="96">
        <f>L15-'24년 2월'!L15</f>
        <v>4</v>
      </c>
      <c r="O15" s="73">
        <v>175</v>
      </c>
      <c r="P15" s="73">
        <v>57</v>
      </c>
      <c r="Q15" s="35">
        <v>3711</v>
      </c>
      <c r="R15" s="33">
        <f>Q15-'24년 2월'!Q15</f>
        <v>-15</v>
      </c>
      <c r="S15" s="73">
        <v>1.84</v>
      </c>
      <c r="T15" s="116"/>
      <c r="U15" s="48"/>
      <c r="V15" s="28">
        <v>7041</v>
      </c>
      <c r="W15" s="35">
        <v>3821</v>
      </c>
    </row>
    <row r="16" spans="1:24">
      <c r="A16" s="39"/>
      <c r="B16" s="115" t="s">
        <v>8</v>
      </c>
      <c r="C16" s="10">
        <f t="shared" si="2"/>
        <v>5750</v>
      </c>
      <c r="D16" s="20">
        <f t="shared" si="3"/>
        <v>1.4621593168791672E-2</v>
      </c>
      <c r="E16" s="28">
        <v>5230</v>
      </c>
      <c r="F16" s="38">
        <f t="shared" si="5"/>
        <v>1.3499874809956351E-2</v>
      </c>
      <c r="G16" s="33">
        <f>E16-'24년 2월'!E16</f>
        <v>-20</v>
      </c>
      <c r="H16" s="51">
        <v>2767</v>
      </c>
      <c r="I16" s="38">
        <f t="shared" si="6"/>
        <v>7.1422855830113241E-3</v>
      </c>
      <c r="J16" s="51">
        <v>2463</v>
      </c>
      <c r="K16" s="38">
        <f t="shared" si="7"/>
        <v>6.3575892269450273E-3</v>
      </c>
      <c r="L16" s="28">
        <f t="shared" si="8"/>
        <v>520</v>
      </c>
      <c r="M16" s="11">
        <f t="shared" si="4"/>
        <v>8.8995379086085916E-2</v>
      </c>
      <c r="N16" s="96">
        <f>L16-'24년 2월'!L16</f>
        <v>-7</v>
      </c>
      <c r="O16" s="73">
        <v>437</v>
      </c>
      <c r="P16" s="73">
        <v>83</v>
      </c>
      <c r="Q16" s="35">
        <v>2952</v>
      </c>
      <c r="R16" s="33">
        <f>Q16-'24년 2월'!Q16</f>
        <v>-4</v>
      </c>
      <c r="S16" s="73">
        <v>1.77</v>
      </c>
      <c r="T16" s="116"/>
      <c r="U16" s="48"/>
      <c r="V16" s="28">
        <v>5397</v>
      </c>
      <c r="W16" s="35">
        <v>3039</v>
      </c>
    </row>
    <row r="17" spans="1:23">
      <c r="A17" s="39"/>
      <c r="B17" s="115" t="s">
        <v>9</v>
      </c>
      <c r="C17" s="10">
        <f t="shared" si="2"/>
        <v>3398</v>
      </c>
      <c r="D17" s="20">
        <f t="shared" si="3"/>
        <v>8.6407258413137566E-3</v>
      </c>
      <c r="E17" s="28">
        <v>3118</v>
      </c>
      <c r="F17" s="38">
        <f>E17/$E$8</f>
        <v>8.0483001257062904E-3</v>
      </c>
      <c r="G17" s="33">
        <f>E17-'24년 2월'!E17</f>
        <v>-22</v>
      </c>
      <c r="H17" s="51">
        <v>1663</v>
      </c>
      <c r="I17" s="38">
        <f t="shared" si="6"/>
        <v>4.2925988162442474E-3</v>
      </c>
      <c r="J17" s="51">
        <v>1455</v>
      </c>
      <c r="K17" s="38">
        <f t="shared" si="7"/>
        <v>3.7557013094620443E-3</v>
      </c>
      <c r="L17" s="28">
        <f t="shared" si="8"/>
        <v>280</v>
      </c>
      <c r="M17" s="11">
        <f t="shared" si="4"/>
        <v>4.7920588738661646E-2</v>
      </c>
      <c r="N17" s="96">
        <f>L17-'24년 2월'!L17</f>
        <v>9</v>
      </c>
      <c r="O17" s="73">
        <v>238</v>
      </c>
      <c r="P17" s="73">
        <v>42</v>
      </c>
      <c r="Q17" s="35">
        <v>1851</v>
      </c>
      <c r="R17" s="33">
        <f>Q17-'24년 2월'!Q17</f>
        <v>-14</v>
      </c>
      <c r="S17" s="73">
        <v>1.68</v>
      </c>
      <c r="T17" s="116"/>
      <c r="U17" s="48"/>
      <c r="V17" s="28">
        <v>3214</v>
      </c>
      <c r="W17" s="35">
        <v>1896</v>
      </c>
    </row>
    <row r="18" spans="1:23">
      <c r="A18" s="39"/>
      <c r="B18" s="115" t="s">
        <v>10</v>
      </c>
      <c r="C18" s="10">
        <f t="shared" si="2"/>
        <v>2390</v>
      </c>
      <c r="D18" s="20">
        <f t="shared" si="3"/>
        <v>6.0774969866803641E-3</v>
      </c>
      <c r="E18" s="28">
        <v>2095</v>
      </c>
      <c r="F18" s="38">
        <f t="shared" si="5"/>
        <v>5.4076936380226684E-3</v>
      </c>
      <c r="G18" s="33">
        <f>E18-'24년 2월'!E18</f>
        <v>-17</v>
      </c>
      <c r="H18" s="51">
        <v>1131</v>
      </c>
      <c r="I18" s="38">
        <f t="shared" si="6"/>
        <v>2.9193801931282283E-3</v>
      </c>
      <c r="J18" s="51">
        <v>964</v>
      </c>
      <c r="K18" s="38">
        <f t="shared" si="7"/>
        <v>2.4883134448944401E-3</v>
      </c>
      <c r="L18" s="28">
        <f t="shared" si="8"/>
        <v>295</v>
      </c>
      <c r="M18" s="11">
        <f t="shared" si="4"/>
        <v>5.048776313537566E-2</v>
      </c>
      <c r="N18" s="96">
        <f>L18-'24년 2월'!L18</f>
        <v>3</v>
      </c>
      <c r="O18" s="73">
        <v>260</v>
      </c>
      <c r="P18" s="73">
        <v>35</v>
      </c>
      <c r="Q18" s="35">
        <v>1116</v>
      </c>
      <c r="R18" s="33">
        <f>Q18-'24년 2월'!Q18</f>
        <v>-7</v>
      </c>
      <c r="S18" s="73">
        <v>1.88</v>
      </c>
      <c r="T18" s="116"/>
      <c r="U18" s="48"/>
      <c r="V18" s="28">
        <v>2187</v>
      </c>
      <c r="W18" s="35">
        <v>1146</v>
      </c>
    </row>
    <row r="19" spans="1:23">
      <c r="A19" s="39"/>
      <c r="B19" s="115" t="s">
        <v>27</v>
      </c>
      <c r="C19" s="10">
        <f t="shared" si="2"/>
        <v>18242</v>
      </c>
      <c r="D19" s="20">
        <f t="shared" si="3"/>
        <v>4.6387322188712637E-2</v>
      </c>
      <c r="E19" s="28">
        <v>18185</v>
      </c>
      <c r="F19" s="38">
        <f t="shared" si="5"/>
        <v>4.6939813273242113E-2</v>
      </c>
      <c r="G19" s="33">
        <f>E19-'24년 2월'!E19</f>
        <v>-31</v>
      </c>
      <c r="H19" s="51">
        <v>8975</v>
      </c>
      <c r="I19" s="38">
        <f t="shared" si="6"/>
        <v>2.3166611170049378E-2</v>
      </c>
      <c r="J19" s="51">
        <v>9210</v>
      </c>
      <c r="K19" s="38">
        <f t="shared" si="7"/>
        <v>2.3773202103192732E-2</v>
      </c>
      <c r="L19" s="28">
        <f t="shared" si="8"/>
        <v>57</v>
      </c>
      <c r="M19" s="11">
        <f t="shared" si="4"/>
        <v>9.7552627075132639E-3</v>
      </c>
      <c r="N19" s="96">
        <f>L19-'24년 2월'!L19</f>
        <v>-3</v>
      </c>
      <c r="O19" s="73">
        <v>23</v>
      </c>
      <c r="P19" s="73">
        <v>34</v>
      </c>
      <c r="Q19" s="35">
        <v>6337</v>
      </c>
      <c r="R19" s="33">
        <f>Q19-'24년 2월'!Q19</f>
        <v>7</v>
      </c>
      <c r="S19" s="73">
        <v>2.87</v>
      </c>
      <c r="T19" s="117"/>
      <c r="U19" s="48"/>
      <c r="V19" s="28">
        <v>18422</v>
      </c>
      <c r="W19" s="35">
        <v>6404</v>
      </c>
    </row>
    <row r="20" spans="1:23">
      <c r="A20" s="39"/>
      <c r="B20" s="115" t="s">
        <v>34</v>
      </c>
      <c r="C20" s="10">
        <f t="shared" si="2"/>
        <v>26623</v>
      </c>
      <c r="D20" s="20">
        <f t="shared" si="3"/>
        <v>6.7699247814389685E-2</v>
      </c>
      <c r="E20" s="28">
        <v>26553</v>
      </c>
      <c r="F20" s="38">
        <f t="shared" si="5"/>
        <v>6.853961296917227E-2</v>
      </c>
      <c r="G20" s="33">
        <f>E20-'24년 2월'!E20</f>
        <v>-78</v>
      </c>
      <c r="H20" s="51">
        <v>12826</v>
      </c>
      <c r="I20" s="38">
        <f t="shared" si="6"/>
        <v>3.3106958759560261E-2</v>
      </c>
      <c r="J20" s="51">
        <v>13727</v>
      </c>
      <c r="K20" s="38">
        <f t="shared" si="7"/>
        <v>3.5432654209612016E-2</v>
      </c>
      <c r="L20" s="28">
        <f t="shared" si="8"/>
        <v>70</v>
      </c>
      <c r="M20" s="11">
        <f t="shared" si="4"/>
        <v>1.1980147184665411E-2</v>
      </c>
      <c r="N20" s="96">
        <f>L20-'24년 2월'!L20</f>
        <v>0</v>
      </c>
      <c r="O20" s="73">
        <v>21</v>
      </c>
      <c r="P20" s="73">
        <v>49</v>
      </c>
      <c r="Q20" s="35">
        <v>9721</v>
      </c>
      <c r="R20" s="33">
        <f>Q20-'24년 2월'!Q20</f>
        <v>-14</v>
      </c>
      <c r="S20" s="73">
        <v>2.73</v>
      </c>
      <c r="T20" s="117"/>
      <c r="U20" s="48"/>
      <c r="V20" s="28">
        <v>26600</v>
      </c>
      <c r="W20" s="35">
        <v>9752</v>
      </c>
    </row>
    <row r="21" spans="1:23">
      <c r="A21" s="39"/>
      <c r="B21" s="118" t="s">
        <v>40</v>
      </c>
      <c r="C21" s="10">
        <f t="shared" si="2"/>
        <v>13275</v>
      </c>
      <c r="D21" s="20">
        <f t="shared" si="3"/>
        <v>3.375680857664512E-2</v>
      </c>
      <c r="E21" s="29">
        <v>13135</v>
      </c>
      <c r="F21" s="38">
        <f t="shared" si="5"/>
        <v>3.3904561305693436E-2</v>
      </c>
      <c r="G21" s="33">
        <f>E21-'24년 2월'!E21</f>
        <v>-13</v>
      </c>
      <c r="H21" s="51">
        <v>6446</v>
      </c>
      <c r="I21" s="38">
        <f t="shared" si="6"/>
        <v>1.6638660234221538E-2</v>
      </c>
      <c r="J21" s="51">
        <v>6689</v>
      </c>
      <c r="K21" s="38">
        <f t="shared" si="7"/>
        <v>1.7265901071471898E-2</v>
      </c>
      <c r="L21" s="28">
        <f t="shared" si="8"/>
        <v>140</v>
      </c>
      <c r="M21" s="11">
        <f t="shared" si="4"/>
        <v>2.3960294369330823E-2</v>
      </c>
      <c r="N21" s="96">
        <f>L21-'24년 2월'!L21</f>
        <v>3</v>
      </c>
      <c r="O21" s="73">
        <v>61</v>
      </c>
      <c r="P21" s="73">
        <v>79</v>
      </c>
      <c r="Q21" s="36">
        <v>5927</v>
      </c>
      <c r="R21" s="33">
        <f>Q21-'24년 2월'!Q21</f>
        <v>21</v>
      </c>
      <c r="S21" s="74">
        <v>2.2200000000000002</v>
      </c>
      <c r="T21" s="119"/>
      <c r="U21" s="48"/>
      <c r="V21" s="29">
        <v>13375</v>
      </c>
      <c r="W21" s="36">
        <v>6073</v>
      </c>
    </row>
    <row r="22" spans="1:23">
      <c r="A22" s="39"/>
      <c r="B22" s="118" t="s">
        <v>41</v>
      </c>
      <c r="C22" s="10">
        <f>E22+L22</f>
        <v>25168</v>
      </c>
      <c r="D22" s="20">
        <f t="shared" si="3"/>
        <v>6.3999349021243268E-2</v>
      </c>
      <c r="E22" s="29">
        <v>25019</v>
      </c>
      <c r="F22" s="38">
        <f t="shared" si="5"/>
        <v>6.4579993856653528E-2</v>
      </c>
      <c r="G22" s="33">
        <f>E22-'24년 2월'!E22</f>
        <v>-147</v>
      </c>
      <c r="H22" s="51">
        <v>12016</v>
      </c>
      <c r="I22" s="38">
        <f t="shared" si="6"/>
        <v>3.1016155968725721E-2</v>
      </c>
      <c r="J22" s="51">
        <v>13003</v>
      </c>
      <c r="K22" s="38">
        <f t="shared" si="7"/>
        <v>3.3563837887927807E-2</v>
      </c>
      <c r="L22" s="28">
        <f t="shared" si="8"/>
        <v>149</v>
      </c>
      <c r="M22" s="11">
        <f t="shared" si="4"/>
        <v>2.5500599007359234E-2</v>
      </c>
      <c r="N22" s="96">
        <f>L22-'24년 2월'!L22</f>
        <v>1</v>
      </c>
      <c r="O22" s="73">
        <v>55</v>
      </c>
      <c r="P22" s="73">
        <v>94</v>
      </c>
      <c r="Q22" s="36">
        <v>10214</v>
      </c>
      <c r="R22" s="33">
        <f>Q22-'24년 2월'!Q22</f>
        <v>-28</v>
      </c>
      <c r="S22" s="74">
        <v>2.4500000000000002</v>
      </c>
      <c r="T22" s="119"/>
      <c r="U22" s="48"/>
      <c r="V22" s="29">
        <v>25473</v>
      </c>
      <c r="W22" s="36">
        <v>10280</v>
      </c>
    </row>
    <row r="23" spans="1:23">
      <c r="A23" s="39"/>
      <c r="B23" s="118" t="s">
        <v>42</v>
      </c>
      <c r="C23" s="10">
        <f t="shared" si="2"/>
        <v>11256</v>
      </c>
      <c r="D23" s="20">
        <f t="shared" si="3"/>
        <v>2.8622722210072879E-2</v>
      </c>
      <c r="E23" s="29">
        <v>11196</v>
      </c>
      <c r="F23" s="38">
        <f t="shared" si="5"/>
        <v>2.889954079775742E-2</v>
      </c>
      <c r="G23" s="33">
        <f>E23-'24년 2월'!E23</f>
        <v>0</v>
      </c>
      <c r="H23" s="51">
        <v>5537</v>
      </c>
      <c r="I23" s="38">
        <f t="shared" si="6"/>
        <v>1.4292314880062777E-2</v>
      </c>
      <c r="J23" s="51">
        <v>5659</v>
      </c>
      <c r="K23" s="38">
        <f t="shared" si="7"/>
        <v>1.4607225917694644E-2</v>
      </c>
      <c r="L23" s="28">
        <f t="shared" si="8"/>
        <v>60</v>
      </c>
      <c r="M23" s="11">
        <f t="shared" si="4"/>
        <v>1.0268697586856067E-2</v>
      </c>
      <c r="N23" s="96">
        <f>L23-'24년 2월'!L23</f>
        <v>0</v>
      </c>
      <c r="O23" s="73">
        <v>25</v>
      </c>
      <c r="P23" s="73">
        <v>35</v>
      </c>
      <c r="Q23" s="36">
        <v>5288</v>
      </c>
      <c r="R23" s="33">
        <f>Q23-'24년 2월'!Q23</f>
        <v>20</v>
      </c>
      <c r="S23" s="74">
        <v>2.12</v>
      </c>
      <c r="T23" s="119"/>
      <c r="U23" s="48"/>
      <c r="V23" s="29">
        <v>11235</v>
      </c>
      <c r="W23" s="36">
        <v>5323</v>
      </c>
    </row>
    <row r="24" spans="1:23">
      <c r="A24" s="39"/>
      <c r="B24" s="115" t="s">
        <v>43</v>
      </c>
      <c r="C24" s="10">
        <f t="shared" si="2"/>
        <v>13249</v>
      </c>
      <c r="D24" s="20">
        <f t="shared" si="3"/>
        <v>3.3690693546664499E-2</v>
      </c>
      <c r="E24" s="28">
        <v>13164</v>
      </c>
      <c r="F24" s="38">
        <f t="shared" si="5"/>
        <v>3.3979417208081342E-2</v>
      </c>
      <c r="G24" s="33">
        <f>E24-'24년 2월'!E24</f>
        <v>1229</v>
      </c>
      <c r="H24" s="51">
        <v>6376</v>
      </c>
      <c r="I24" s="38">
        <f t="shared" si="6"/>
        <v>1.6457973573285219E-2</v>
      </c>
      <c r="J24" s="51">
        <v>6788</v>
      </c>
      <c r="K24" s="38">
        <f t="shared" si="7"/>
        <v>1.752144363479612E-2</v>
      </c>
      <c r="L24" s="28">
        <f t="shared" si="8"/>
        <v>85</v>
      </c>
      <c r="M24" s="11">
        <f t="shared" si="4"/>
        <v>1.4547321581379429E-2</v>
      </c>
      <c r="N24" s="96">
        <f>L24-'24년 2월'!L24</f>
        <v>-5</v>
      </c>
      <c r="O24" s="73">
        <v>50</v>
      </c>
      <c r="P24" s="73">
        <v>35</v>
      </c>
      <c r="Q24" s="35">
        <v>4945</v>
      </c>
      <c r="R24" s="33">
        <f>Q24-'24년 2월'!Q24</f>
        <v>437</v>
      </c>
      <c r="S24" s="73">
        <v>2.66</v>
      </c>
      <c r="T24" s="117"/>
      <c r="U24" s="48"/>
      <c r="V24" s="28">
        <v>8925</v>
      </c>
      <c r="W24" s="35">
        <v>3139</v>
      </c>
    </row>
    <row r="25" spans="1:23">
      <c r="A25" s="39"/>
      <c r="B25" s="120" t="s">
        <v>28</v>
      </c>
      <c r="C25" s="10">
        <f t="shared" si="2"/>
        <v>23491</v>
      </c>
      <c r="D25" s="20">
        <f t="shared" si="3"/>
        <v>5.9734929587493067E-2</v>
      </c>
      <c r="E25" s="30">
        <v>23426</v>
      </c>
      <c r="F25" s="38">
        <f t="shared" si="5"/>
        <v>6.04680817013456E-2</v>
      </c>
      <c r="G25" s="33">
        <f>E25-'24년 2월'!E25</f>
        <v>-66</v>
      </c>
      <c r="H25" s="51">
        <v>11581</v>
      </c>
      <c r="I25" s="38">
        <f t="shared" si="6"/>
        <v>2.9893317432907171E-2</v>
      </c>
      <c r="J25" s="51">
        <v>11845</v>
      </c>
      <c r="K25" s="38">
        <f t="shared" si="7"/>
        <v>3.0574764268438429E-2</v>
      </c>
      <c r="L25" s="28">
        <f t="shared" si="8"/>
        <v>65</v>
      </c>
      <c r="M25" s="11">
        <f t="shared" si="4"/>
        <v>1.1124422385760739E-2</v>
      </c>
      <c r="N25" s="96">
        <f>L25-'24년 2월'!L25</f>
        <v>5</v>
      </c>
      <c r="O25" s="73">
        <v>24</v>
      </c>
      <c r="P25" s="73">
        <v>41</v>
      </c>
      <c r="Q25" s="37">
        <v>7932</v>
      </c>
      <c r="R25" s="33">
        <f>Q25-'24년 2월'!Q25</f>
        <v>-7</v>
      </c>
      <c r="S25" s="75">
        <v>2.95</v>
      </c>
      <c r="T25" s="121"/>
      <c r="U25" s="48"/>
      <c r="V25" s="30">
        <v>23623</v>
      </c>
      <c r="W25" s="37">
        <v>7957</v>
      </c>
    </row>
    <row r="26" spans="1:23">
      <c r="A26" s="76"/>
      <c r="B26" s="115" t="s">
        <v>29</v>
      </c>
      <c r="C26" s="10">
        <f t="shared" si="2"/>
        <v>28082</v>
      </c>
      <c r="D26" s="20">
        <f t="shared" si="3"/>
        <v>7.1409318150610038E-2</v>
      </c>
      <c r="E26" s="28">
        <v>27961</v>
      </c>
      <c r="F26" s="38">
        <f t="shared" si="5"/>
        <v>7.2173996092005643E-2</v>
      </c>
      <c r="G26" s="33">
        <f>E26-'24년 2월'!E26</f>
        <v>-50</v>
      </c>
      <c r="H26" s="51">
        <v>13583</v>
      </c>
      <c r="I26" s="38">
        <f t="shared" si="6"/>
        <v>3.5060955935685874E-2</v>
      </c>
      <c r="J26" s="51">
        <v>14378</v>
      </c>
      <c r="K26" s="38">
        <f t="shared" si="7"/>
        <v>3.7113040156319776E-2</v>
      </c>
      <c r="L26" s="28">
        <f t="shared" si="8"/>
        <v>121</v>
      </c>
      <c r="M26" s="11">
        <f t="shared" si="4"/>
        <v>2.0708540133493068E-2</v>
      </c>
      <c r="N26" s="96">
        <f>L26-'24년 2월'!L26</f>
        <v>-5</v>
      </c>
      <c r="O26" s="73">
        <v>33</v>
      </c>
      <c r="P26" s="73">
        <v>88</v>
      </c>
      <c r="Q26" s="35">
        <v>10773</v>
      </c>
      <c r="R26" s="33">
        <f>Q26-'24년 2월'!Q26</f>
        <v>-12</v>
      </c>
      <c r="S26" s="90">
        <v>2.6</v>
      </c>
      <c r="T26" s="122"/>
      <c r="U26" s="48"/>
      <c r="V26" s="28">
        <v>28470</v>
      </c>
      <c r="W26" s="35">
        <v>10826</v>
      </c>
    </row>
    <row r="27" spans="1:23">
      <c r="A27" s="77"/>
      <c r="B27" s="115" t="s">
        <v>30</v>
      </c>
      <c r="C27" s="10">
        <f t="shared" si="2"/>
        <v>36177</v>
      </c>
      <c r="D27" s="20">
        <f t="shared" si="3"/>
        <v>9.199397844650023E-2</v>
      </c>
      <c r="E27" s="28">
        <v>36052</v>
      </c>
      <c r="F27" s="38">
        <f t="shared" si="5"/>
        <v>9.3058792858230668E-2</v>
      </c>
      <c r="G27" s="33">
        <f>E27-'24년 2월'!E27</f>
        <v>-114</v>
      </c>
      <c r="H27" s="51">
        <v>17696</v>
      </c>
      <c r="I27" s="38">
        <f t="shared" si="6"/>
        <v>4.5677587884701262E-2</v>
      </c>
      <c r="J27" s="51">
        <v>18356</v>
      </c>
      <c r="K27" s="38">
        <f t="shared" si="7"/>
        <v>4.7381204973529406E-2</v>
      </c>
      <c r="L27" s="28">
        <f t="shared" si="8"/>
        <v>125</v>
      </c>
      <c r="M27" s="11">
        <f t="shared" si="4"/>
        <v>2.1393119972616805E-2</v>
      </c>
      <c r="N27" s="96">
        <f>L27-'24년 2월'!L27</f>
        <v>-1</v>
      </c>
      <c r="O27" s="73">
        <v>41</v>
      </c>
      <c r="P27" s="73">
        <v>84</v>
      </c>
      <c r="Q27" s="35">
        <v>12802</v>
      </c>
      <c r="R27" s="33">
        <f>Q27-'24년 2월'!Q27</f>
        <v>-11</v>
      </c>
      <c r="S27" s="73">
        <v>2.82</v>
      </c>
      <c r="T27" s="123"/>
      <c r="U27" s="48"/>
      <c r="V27" s="28">
        <v>35257</v>
      </c>
      <c r="W27" s="35">
        <v>12436</v>
      </c>
    </row>
    <row r="28" spans="1:23">
      <c r="A28" s="77"/>
      <c r="B28" s="115" t="s">
        <v>31</v>
      </c>
      <c r="C28" s="10">
        <f t="shared" si="2"/>
        <v>21876</v>
      </c>
      <c r="D28" s="20">
        <f t="shared" si="3"/>
        <v>5.5628169071388976E-2</v>
      </c>
      <c r="E28" s="28">
        <v>21770</v>
      </c>
      <c r="F28" s="38">
        <f t="shared" si="5"/>
        <v>5.6193551551194987E-2</v>
      </c>
      <c r="G28" s="33">
        <f>E28-'24년 2월'!E28</f>
        <v>-39</v>
      </c>
      <c r="H28" s="51">
        <v>10600</v>
      </c>
      <c r="I28" s="38">
        <f t="shared" si="6"/>
        <v>2.7361122941785339E-2</v>
      </c>
      <c r="J28" s="51">
        <v>11170</v>
      </c>
      <c r="K28" s="38">
        <f t="shared" si="7"/>
        <v>2.8832428609409644E-2</v>
      </c>
      <c r="L28" s="28">
        <f t="shared" si="8"/>
        <v>106</v>
      </c>
      <c r="M28" s="11">
        <f t="shared" si="4"/>
        <v>1.8141365736779051E-2</v>
      </c>
      <c r="N28" s="96">
        <f>L28-'24년 2월'!L28</f>
        <v>-2</v>
      </c>
      <c r="O28" s="73">
        <v>33</v>
      </c>
      <c r="P28" s="73">
        <v>73</v>
      </c>
      <c r="Q28" s="35">
        <v>8431</v>
      </c>
      <c r="R28" s="33">
        <f>Q28-'24년 2월'!Q28</f>
        <v>8</v>
      </c>
      <c r="S28" s="73">
        <v>2.58</v>
      </c>
      <c r="T28" s="123"/>
      <c r="U28" s="48"/>
      <c r="V28" s="28">
        <v>21830</v>
      </c>
      <c r="W28" s="35">
        <v>8390</v>
      </c>
    </row>
    <row r="29" spans="1:23">
      <c r="A29" s="77"/>
      <c r="B29" s="115" t="s">
        <v>44</v>
      </c>
      <c r="C29" s="10">
        <f t="shared" si="2"/>
        <v>28794</v>
      </c>
      <c r="D29" s="20">
        <f>C29/$C$8</f>
        <v>7.3219852817771713E-2</v>
      </c>
      <c r="E29" s="28">
        <v>28516</v>
      </c>
      <c r="F29" s="38">
        <f t="shared" si="5"/>
        <v>7.3606583189429309E-2</v>
      </c>
      <c r="G29" s="33">
        <f>E29-'24년 2월'!E29</f>
        <v>-30</v>
      </c>
      <c r="H29" s="51">
        <v>13990</v>
      </c>
      <c r="I29" s="38">
        <f t="shared" si="6"/>
        <v>3.6111519807129892E-2</v>
      </c>
      <c r="J29" s="51">
        <v>14526</v>
      </c>
      <c r="K29" s="38">
        <f t="shared" si="7"/>
        <v>3.7495063382299416E-2</v>
      </c>
      <c r="L29" s="28">
        <f t="shared" si="8"/>
        <v>278</v>
      </c>
      <c r="M29" s="11">
        <f t="shared" si="4"/>
        <v>4.7578298819099779E-2</v>
      </c>
      <c r="N29" s="96">
        <f>L29-'24년 2월'!L29</f>
        <v>0</v>
      </c>
      <c r="O29" s="73">
        <v>124</v>
      </c>
      <c r="P29" s="73">
        <v>154</v>
      </c>
      <c r="Q29" s="35">
        <v>12037</v>
      </c>
      <c r="R29" s="33">
        <f>Q29-'24년 2월'!Q29</f>
        <v>-23</v>
      </c>
      <c r="S29" s="73">
        <v>2.37</v>
      </c>
      <c r="T29" s="123"/>
      <c r="U29" s="48"/>
      <c r="V29" s="28">
        <v>28108</v>
      </c>
      <c r="W29" s="35">
        <v>11868</v>
      </c>
    </row>
    <row r="30" spans="1:23">
      <c r="A30" s="77"/>
      <c r="B30" s="115" t="s">
        <v>32</v>
      </c>
      <c r="C30" s="10">
        <f t="shared" si="2"/>
        <v>18980</v>
      </c>
      <c r="D30" s="20">
        <f t="shared" si="3"/>
        <v>4.8263971885854941E-2</v>
      </c>
      <c r="E30" s="28">
        <v>18921</v>
      </c>
      <c r="F30" s="38">
        <f t="shared" si="5"/>
        <v>4.8839604451086829E-2</v>
      </c>
      <c r="G30" s="33">
        <f>E30-'24년 2월'!E30</f>
        <v>-34</v>
      </c>
      <c r="H30" s="51">
        <v>9304</v>
      </c>
      <c r="I30" s="38">
        <f t="shared" si="6"/>
        <v>2.4015838476450075E-2</v>
      </c>
      <c r="J30" s="51">
        <v>9617</v>
      </c>
      <c r="K30" s="38">
        <f t="shared" si="7"/>
        <v>2.4823765974636754E-2</v>
      </c>
      <c r="L30" s="28">
        <f t="shared" si="8"/>
        <v>59</v>
      </c>
      <c r="M30" s="11">
        <f t="shared" si="4"/>
        <v>1.0097552627075132E-2</v>
      </c>
      <c r="N30" s="96">
        <f>L30-'24년 2월'!L30</f>
        <v>1</v>
      </c>
      <c r="O30" s="73">
        <v>21</v>
      </c>
      <c r="P30" s="73">
        <v>38</v>
      </c>
      <c r="Q30" s="35">
        <v>6973</v>
      </c>
      <c r="R30" s="33">
        <f>Q30-'24년 2월'!Q30</f>
        <v>1</v>
      </c>
      <c r="S30" s="73">
        <v>2.71</v>
      </c>
      <c r="T30" s="123"/>
      <c r="U30" s="48"/>
      <c r="V30" s="28">
        <v>18980</v>
      </c>
      <c r="W30" s="35">
        <v>6924</v>
      </c>
    </row>
    <row r="31" spans="1:23">
      <c r="A31" s="77"/>
      <c r="B31" s="124" t="s">
        <v>45</v>
      </c>
      <c r="C31" s="10">
        <f t="shared" si="2"/>
        <v>11296</v>
      </c>
      <c r="D31" s="20">
        <f t="shared" si="3"/>
        <v>2.8724437640812301E-2</v>
      </c>
      <c r="E31" s="28">
        <v>11257</v>
      </c>
      <c r="F31" s="38">
        <f t="shared" si="5"/>
        <v>2.9056996316573356E-2</v>
      </c>
      <c r="G31" s="33">
        <f>E31-'24년 2월'!E31</f>
        <v>-53</v>
      </c>
      <c r="H31" s="51">
        <v>5551</v>
      </c>
      <c r="I31" s="38">
        <f t="shared" si="6"/>
        <v>1.4328452212250039E-2</v>
      </c>
      <c r="J31" s="51">
        <v>5706</v>
      </c>
      <c r="K31" s="38">
        <f t="shared" si="7"/>
        <v>1.4728544104323315E-2</v>
      </c>
      <c r="L31" s="28">
        <f t="shared" si="8"/>
        <v>39</v>
      </c>
      <c r="M31" s="11">
        <f t="shared" si="4"/>
        <v>6.6746534314564435E-3</v>
      </c>
      <c r="N31" s="96">
        <f>L31-'24년 2월'!L31</f>
        <v>2</v>
      </c>
      <c r="O31" s="73">
        <v>12</v>
      </c>
      <c r="P31" s="73">
        <v>27</v>
      </c>
      <c r="Q31" s="35">
        <v>4383</v>
      </c>
      <c r="R31" s="33">
        <f>Q31-'24년 2월'!Q31</f>
        <v>-9</v>
      </c>
      <c r="S31" s="73">
        <v>2.57</v>
      </c>
      <c r="T31" s="122"/>
      <c r="U31" s="48"/>
      <c r="V31" s="28">
        <v>11256</v>
      </c>
      <c r="W31" s="35">
        <v>4368</v>
      </c>
    </row>
    <row r="32" spans="1:23" ht="17.25" thickBot="1">
      <c r="A32" s="78"/>
      <c r="B32" s="125" t="s">
        <v>46</v>
      </c>
      <c r="C32" s="126">
        <f t="shared" si="2"/>
        <v>28509</v>
      </c>
      <c r="D32" s="127">
        <f t="shared" si="3"/>
        <v>7.2495130373753353E-2</v>
      </c>
      <c r="E32" s="128">
        <v>28428</v>
      </c>
      <c r="F32" s="129">
        <f t="shared" si="5"/>
        <v>7.3379434244252223E-2</v>
      </c>
      <c r="G32" s="130">
        <f>E32-'24년 2월'!E32</f>
        <v>-94</v>
      </c>
      <c r="H32" s="131">
        <v>13667</v>
      </c>
      <c r="I32" s="129">
        <f t="shared" si="6"/>
        <v>3.5277779928809455E-2</v>
      </c>
      <c r="J32" s="131">
        <v>14761</v>
      </c>
      <c r="K32" s="129">
        <f t="shared" si="7"/>
        <v>3.8101654315442775E-2</v>
      </c>
      <c r="L32" s="128">
        <f t="shared" si="8"/>
        <v>81</v>
      </c>
      <c r="M32" s="132">
        <f t="shared" si="4"/>
        <v>1.3862741742255691E-2</v>
      </c>
      <c r="N32" s="133">
        <f>L32-'24년 2월'!L32</f>
        <v>2</v>
      </c>
      <c r="O32" s="134">
        <v>28</v>
      </c>
      <c r="P32" s="134">
        <v>53</v>
      </c>
      <c r="Q32" s="135">
        <v>10811</v>
      </c>
      <c r="R32" s="130">
        <f>Q32-'24년 2월'!Q32</f>
        <v>-15</v>
      </c>
      <c r="S32" s="134">
        <v>2.63</v>
      </c>
      <c r="T32" s="136"/>
      <c r="U32" s="48"/>
      <c r="V32" s="28">
        <v>28539</v>
      </c>
      <c r="W32" s="35">
        <v>10819</v>
      </c>
    </row>
    <row r="33" spans="1:21">
      <c r="A33" s="79"/>
      <c r="B33" s="80"/>
      <c r="C33" s="41"/>
      <c r="D33" s="41"/>
      <c r="E33" s="81"/>
      <c r="F33" s="81"/>
      <c r="G33" s="82"/>
      <c r="H33" s="81"/>
      <c r="I33" s="83"/>
      <c r="J33" s="81"/>
      <c r="K33" s="83"/>
      <c r="L33" s="47"/>
      <c r="N33" s="48"/>
      <c r="Q33" s="84"/>
      <c r="R33" s="85"/>
      <c r="S33" s="86"/>
      <c r="T33" s="87"/>
      <c r="U33" s="48"/>
    </row>
    <row r="34" spans="1:21">
      <c r="A34" s="39"/>
      <c r="B34" s="40" t="s">
        <v>60</v>
      </c>
      <c r="E34" s="41"/>
      <c r="F34" s="41"/>
      <c r="G34" s="41"/>
      <c r="H34" s="42"/>
      <c r="I34" s="43"/>
      <c r="J34" s="44"/>
      <c r="K34" s="44"/>
      <c r="Q34" s="45"/>
      <c r="R34" s="46"/>
      <c r="S34" s="47"/>
      <c r="U34" s="48"/>
    </row>
    <row r="35" spans="1:21">
      <c r="A35" s="39"/>
      <c r="B35" s="88"/>
      <c r="E35" s="41"/>
      <c r="F35" s="41"/>
      <c r="G35" s="41"/>
      <c r="H35" s="42"/>
      <c r="I35" s="43"/>
      <c r="J35" s="44"/>
      <c r="K35" s="44"/>
      <c r="Q35" s="45"/>
      <c r="R35" s="46"/>
      <c r="S35" s="47"/>
      <c r="U35" s="48"/>
    </row>
  </sheetData>
  <mergeCells count="12">
    <mergeCell ref="Q6:Q7"/>
    <mergeCell ref="R6:R7"/>
    <mergeCell ref="B2:T2"/>
    <mergeCell ref="B5:B7"/>
    <mergeCell ref="E5:K5"/>
    <mergeCell ref="Q5:R5"/>
    <mergeCell ref="S5:S7"/>
    <mergeCell ref="T5:T7"/>
    <mergeCell ref="C6:C7"/>
    <mergeCell ref="D6:D7"/>
    <mergeCell ref="E6:K6"/>
    <mergeCell ref="L6:P6"/>
  </mergeCells>
  <phoneticPr fontId="2" type="noConversion"/>
  <pageMargins left="0.7" right="0.7" top="0.75" bottom="0.75" header="0.3" footer="0.3"/>
  <pageSetup paperSize="9" orientation="portrait" r:id="rId1"/>
  <ignoredErrors>
    <ignoredError sqref="L8" formula="1"/>
    <ignoredError sqref="L9:L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193D-59F0-4CAF-9005-5D7CECA95018}">
  <sheetPr>
    <tabColor theme="7"/>
  </sheetPr>
  <dimension ref="A1:X35"/>
  <sheetViews>
    <sheetView zoomScale="130" zoomScaleNormal="130" workbookViewId="0">
      <selection activeCell="P32" sqref="P32"/>
    </sheetView>
  </sheetViews>
  <sheetFormatPr defaultRowHeight="16.5"/>
  <cols>
    <col min="1" max="1" width="1.25" customWidth="1"/>
    <col min="6" max="6" width="10" customWidth="1"/>
    <col min="13" max="13" width="9.875" customWidth="1"/>
    <col min="21" max="21" width="23.75" customWidth="1"/>
    <col min="22" max="23" width="9.625" hidden="1" customWidth="1"/>
  </cols>
  <sheetData>
    <row r="1" spans="1:24">
      <c r="A1" s="39"/>
      <c r="B1" s="52"/>
      <c r="C1" s="1"/>
      <c r="D1" s="1"/>
      <c r="E1" s="53"/>
      <c r="F1" s="53"/>
      <c r="G1" s="53"/>
      <c r="H1" s="53"/>
      <c r="I1" s="53"/>
      <c r="J1" s="53"/>
      <c r="K1" s="53"/>
      <c r="L1" s="2"/>
      <c r="M1" s="2"/>
      <c r="N1" s="2"/>
      <c r="O1" s="2"/>
      <c r="P1" s="2"/>
      <c r="Q1" s="53"/>
      <c r="R1" s="54"/>
      <c r="S1" s="55"/>
      <c r="T1" s="53"/>
      <c r="U1" s="48"/>
    </row>
    <row r="2" spans="1:24" ht="31.5">
      <c r="A2" s="56"/>
      <c r="B2" s="149" t="s">
        <v>56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48"/>
    </row>
    <row r="3" spans="1:24" ht="26.25">
      <c r="A3" s="56"/>
      <c r="B3" s="57"/>
      <c r="C3" s="3"/>
      <c r="D3" s="3"/>
      <c r="E3" s="58"/>
      <c r="F3" s="58"/>
      <c r="G3" s="58"/>
      <c r="H3" s="58"/>
      <c r="I3" s="58"/>
      <c r="J3" s="58"/>
      <c r="K3" s="58"/>
      <c r="L3" s="4"/>
      <c r="M3" s="4"/>
      <c r="O3" s="26"/>
      <c r="P3" s="26"/>
      <c r="Q3" s="58"/>
      <c r="R3" s="59"/>
      <c r="S3" s="60"/>
      <c r="T3" s="58"/>
      <c r="U3" s="48"/>
    </row>
    <row r="4" spans="1:24" ht="17.25">
      <c r="A4" s="39"/>
      <c r="B4" s="61" t="s">
        <v>57</v>
      </c>
      <c r="C4" s="5"/>
      <c r="D4" s="5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64"/>
      <c r="S4" s="65"/>
      <c r="T4" s="66" t="s">
        <v>11</v>
      </c>
      <c r="U4" s="48"/>
    </row>
    <row r="5" spans="1:24">
      <c r="A5" s="39"/>
      <c r="B5" s="170" t="s">
        <v>12</v>
      </c>
      <c r="C5" s="102"/>
      <c r="D5" s="102"/>
      <c r="E5" s="166"/>
      <c r="F5" s="166"/>
      <c r="G5" s="166"/>
      <c r="H5" s="166"/>
      <c r="I5" s="166"/>
      <c r="J5" s="166"/>
      <c r="K5" s="166"/>
      <c r="L5" s="101"/>
      <c r="M5" s="101"/>
      <c r="N5" s="101"/>
      <c r="O5" s="101"/>
      <c r="P5" s="101"/>
      <c r="Q5" s="168" t="s">
        <v>13</v>
      </c>
      <c r="R5" s="166"/>
      <c r="S5" s="173" t="s">
        <v>37</v>
      </c>
      <c r="T5" s="170" t="s">
        <v>48</v>
      </c>
      <c r="U5" s="48"/>
    </row>
    <row r="6" spans="1:24">
      <c r="A6" s="39"/>
      <c r="B6" s="171"/>
      <c r="C6" s="161" t="s">
        <v>33</v>
      </c>
      <c r="D6" s="163" t="s">
        <v>14</v>
      </c>
      <c r="E6" s="165" t="s">
        <v>15</v>
      </c>
      <c r="F6" s="166"/>
      <c r="G6" s="166"/>
      <c r="H6" s="166"/>
      <c r="I6" s="166"/>
      <c r="J6" s="166"/>
      <c r="K6" s="167"/>
      <c r="L6" s="165" t="s">
        <v>0</v>
      </c>
      <c r="M6" s="169"/>
      <c r="N6" s="169"/>
      <c r="O6" s="169"/>
      <c r="P6" s="169"/>
      <c r="Q6" s="145" t="s">
        <v>16</v>
      </c>
      <c r="R6" s="147" t="s">
        <v>17</v>
      </c>
      <c r="S6" s="156"/>
      <c r="T6" s="171"/>
      <c r="U6" s="48"/>
    </row>
    <row r="7" spans="1:24" ht="29.25" thickBot="1">
      <c r="A7" s="39"/>
      <c r="B7" s="172"/>
      <c r="C7" s="174"/>
      <c r="D7" s="175"/>
      <c r="E7" s="100" t="s">
        <v>18</v>
      </c>
      <c r="F7" s="67" t="s">
        <v>19</v>
      </c>
      <c r="G7" s="68" t="s">
        <v>17</v>
      </c>
      <c r="H7" s="69" t="s">
        <v>20</v>
      </c>
      <c r="I7" s="68" t="s">
        <v>50</v>
      </c>
      <c r="J7" s="69" t="s">
        <v>21</v>
      </c>
      <c r="K7" s="68" t="s">
        <v>49</v>
      </c>
      <c r="L7" s="7" t="s">
        <v>22</v>
      </c>
      <c r="M7" s="6" t="s">
        <v>23</v>
      </c>
      <c r="N7" s="6" t="s">
        <v>17</v>
      </c>
      <c r="O7" s="17" t="s">
        <v>24</v>
      </c>
      <c r="P7" s="7" t="s">
        <v>25</v>
      </c>
      <c r="Q7" s="146"/>
      <c r="R7" s="148"/>
      <c r="S7" s="157"/>
      <c r="T7" s="172"/>
      <c r="U7" s="48"/>
      <c r="V7" s="70" t="s">
        <v>38</v>
      </c>
      <c r="W7" s="70" t="s">
        <v>39</v>
      </c>
    </row>
    <row r="8" spans="1:24" ht="17.25" thickTop="1">
      <c r="A8" s="39"/>
      <c r="B8" s="71" t="s">
        <v>26</v>
      </c>
      <c r="C8" s="8">
        <f>SUM(C9:C32)</f>
        <v>393005</v>
      </c>
      <c r="D8" s="19">
        <f>SUM(D9:D32)</f>
        <v>1</v>
      </c>
      <c r="E8" s="49">
        <v>387193</v>
      </c>
      <c r="F8" s="19">
        <f>SUM(F9:F32)</f>
        <v>1.0000000000000002</v>
      </c>
      <c r="G8" s="32">
        <f>SUM(G9:G32)</f>
        <v>249</v>
      </c>
      <c r="H8" s="50">
        <v>192836</v>
      </c>
      <c r="I8" s="91">
        <f t="shared" ref="I8:K8" si="0">SUM(I9:I32)</f>
        <v>0.49803586325165999</v>
      </c>
      <c r="J8" s="50">
        <v>194357</v>
      </c>
      <c r="K8" s="91">
        <f t="shared" si="0"/>
        <v>0.50196413674833995</v>
      </c>
      <c r="L8" s="28">
        <f>SUM(O8:P8)</f>
        <v>5812</v>
      </c>
      <c r="M8" s="91">
        <f t="shared" ref="M8" si="1">SUM(M9:M32)</f>
        <v>0.99999999999999989</v>
      </c>
      <c r="N8" s="96">
        <f>L8-'24년 1월'!L8</f>
        <v>40</v>
      </c>
      <c r="O8" s="31">
        <f>SUM(O9:O32)</f>
        <v>3551</v>
      </c>
      <c r="P8" s="31">
        <f>SUM(P9:P32)</f>
        <v>2261</v>
      </c>
      <c r="Q8" s="34">
        <v>161303</v>
      </c>
      <c r="R8" s="32">
        <f>SUM(R9:R32)</f>
        <v>361</v>
      </c>
      <c r="S8" s="89">
        <v>2.4</v>
      </c>
      <c r="T8" s="72"/>
      <c r="U8" s="92"/>
      <c r="V8" s="49">
        <v>386192</v>
      </c>
      <c r="W8" s="34">
        <v>160562</v>
      </c>
      <c r="X8" s="25"/>
    </row>
    <row r="9" spans="1:24">
      <c r="A9" s="39"/>
      <c r="B9" s="9" t="s">
        <v>1</v>
      </c>
      <c r="C9" s="10">
        <f t="shared" ref="C9:C32" si="2">E9+L9</f>
        <v>42627</v>
      </c>
      <c r="D9" s="20">
        <f t="shared" ref="D9:D32" si="3">C9/$C$8</f>
        <v>0.10846426890243127</v>
      </c>
      <c r="E9" s="28">
        <v>40886</v>
      </c>
      <c r="F9" s="38">
        <f>E9/$E$8</f>
        <v>0.10559591728156242</v>
      </c>
      <c r="G9" s="33">
        <f>E9-'24년 1월'!E9</f>
        <v>-76</v>
      </c>
      <c r="H9" s="51">
        <v>21249</v>
      </c>
      <c r="I9" s="38">
        <f>H9/$E$8</f>
        <v>5.4879607844150073E-2</v>
      </c>
      <c r="J9" s="51">
        <v>19637</v>
      </c>
      <c r="K9" s="38">
        <f>J9/$E$8</f>
        <v>5.071630943741235E-2</v>
      </c>
      <c r="L9" s="28">
        <f>SUM(O9:P9)</f>
        <v>1741</v>
      </c>
      <c r="M9" s="11">
        <f t="shared" ref="M9:M32" si="4">L9/$L$8</f>
        <v>0.29955264969029594</v>
      </c>
      <c r="N9" s="96">
        <f>L9-'24년 1월'!L9</f>
        <v>-23</v>
      </c>
      <c r="O9" s="73">
        <v>910</v>
      </c>
      <c r="P9" s="73">
        <v>831</v>
      </c>
      <c r="Q9" s="35">
        <v>20317</v>
      </c>
      <c r="R9" s="33">
        <f>Q9-'24년 1월'!Q9</f>
        <v>12</v>
      </c>
      <c r="S9" s="73">
        <v>2.0099999999999998</v>
      </c>
      <c r="T9" s="13"/>
      <c r="U9" s="48"/>
      <c r="V9" s="28">
        <v>41784</v>
      </c>
      <c r="W9" s="35">
        <v>20662</v>
      </c>
    </row>
    <row r="10" spans="1:24">
      <c r="A10" s="39"/>
      <c r="B10" s="9" t="s">
        <v>2</v>
      </c>
      <c r="C10" s="10">
        <f t="shared" si="2"/>
        <v>2550</v>
      </c>
      <c r="D10" s="20">
        <f t="shared" si="3"/>
        <v>6.4884670678490098E-3</v>
      </c>
      <c r="E10" s="28">
        <v>2473</v>
      </c>
      <c r="F10" s="38">
        <f t="shared" ref="F10:F32" si="5">E10/$E$8</f>
        <v>6.3869956326689792E-3</v>
      </c>
      <c r="G10" s="33">
        <f>E10-'24년 1월'!E10</f>
        <v>-4</v>
      </c>
      <c r="H10" s="51">
        <v>1407</v>
      </c>
      <c r="I10" s="38">
        <f t="shared" ref="I10:I32" si="6">H10/$E$8</f>
        <v>3.6338466862779026E-3</v>
      </c>
      <c r="J10" s="51">
        <v>1066</v>
      </c>
      <c r="K10" s="38">
        <f t="shared" ref="K10:K32" si="7">J10/$E$8</f>
        <v>2.7531489463910762E-3</v>
      </c>
      <c r="L10" s="28">
        <f t="shared" ref="L10:L32" si="8">SUM(O10:P10)</f>
        <v>77</v>
      </c>
      <c r="M10" s="11">
        <f t="shared" si="4"/>
        <v>1.3248451479697177E-2</v>
      </c>
      <c r="N10" s="96">
        <f>L10-'24년 1월'!L10</f>
        <v>-4</v>
      </c>
      <c r="O10" s="73">
        <v>46</v>
      </c>
      <c r="P10" s="73">
        <v>31</v>
      </c>
      <c r="Q10" s="35">
        <v>1490</v>
      </c>
      <c r="R10" s="33">
        <f>Q10-'24년 1월'!Q10</f>
        <v>3</v>
      </c>
      <c r="S10" s="73">
        <v>1.66</v>
      </c>
      <c r="T10" s="13"/>
      <c r="U10" s="48"/>
      <c r="V10" s="28">
        <v>2567</v>
      </c>
      <c r="W10" s="35">
        <v>1558</v>
      </c>
      <c r="X10" s="25"/>
    </row>
    <row r="11" spans="1:24">
      <c r="A11" s="39"/>
      <c r="B11" s="9" t="s">
        <v>3</v>
      </c>
      <c r="C11" s="10">
        <f t="shared" si="2"/>
        <v>3004</v>
      </c>
      <c r="D11" s="20">
        <f t="shared" si="3"/>
        <v>7.6436686556150685E-3</v>
      </c>
      <c r="E11" s="28">
        <v>2808</v>
      </c>
      <c r="F11" s="38">
        <f t="shared" si="5"/>
        <v>7.2521972246399084E-3</v>
      </c>
      <c r="G11" s="33">
        <f>E11-'24년 1월'!E11</f>
        <v>-14</v>
      </c>
      <c r="H11" s="51">
        <v>1468</v>
      </c>
      <c r="I11" s="38">
        <f t="shared" si="6"/>
        <v>3.7913908567561916E-3</v>
      </c>
      <c r="J11" s="51">
        <v>1340</v>
      </c>
      <c r="K11" s="38">
        <f t="shared" si="7"/>
        <v>3.4608063678837168E-3</v>
      </c>
      <c r="L11" s="28">
        <f t="shared" si="8"/>
        <v>196</v>
      </c>
      <c r="M11" s="11">
        <f t="shared" si="4"/>
        <v>3.3723331039229178E-2</v>
      </c>
      <c r="N11" s="96">
        <f>L11-'24년 1월'!L11</f>
        <v>1</v>
      </c>
      <c r="O11" s="73">
        <v>156</v>
      </c>
      <c r="P11" s="73">
        <v>40</v>
      </c>
      <c r="Q11" s="35">
        <v>1638</v>
      </c>
      <c r="R11" s="33">
        <f>Q11-'24년 1월'!Q11</f>
        <v>-11</v>
      </c>
      <c r="S11" s="73">
        <v>1.71</v>
      </c>
      <c r="T11" s="13"/>
      <c r="U11" s="48"/>
      <c r="V11" s="28">
        <v>2905</v>
      </c>
      <c r="W11" s="35">
        <v>1681</v>
      </c>
    </row>
    <row r="12" spans="1:24">
      <c r="A12" s="39"/>
      <c r="B12" s="9" t="s">
        <v>4</v>
      </c>
      <c r="C12" s="10">
        <f t="shared" si="2"/>
        <v>5872</v>
      </c>
      <c r="D12" s="20">
        <f t="shared" si="3"/>
        <v>1.4941285734278191E-2</v>
      </c>
      <c r="E12" s="28">
        <v>5558</v>
      </c>
      <c r="F12" s="38">
        <f t="shared" si="5"/>
        <v>1.4354598352759476E-2</v>
      </c>
      <c r="G12" s="33">
        <f>E12-'24년 1월'!E12</f>
        <v>-24</v>
      </c>
      <c r="H12" s="51">
        <v>3065</v>
      </c>
      <c r="I12" s="38">
        <f t="shared" si="6"/>
        <v>7.9159488937041739E-3</v>
      </c>
      <c r="J12" s="51">
        <v>2493</v>
      </c>
      <c r="K12" s="38">
        <f t="shared" si="7"/>
        <v>6.4386494590553036E-3</v>
      </c>
      <c r="L12" s="28">
        <f t="shared" si="8"/>
        <v>314</v>
      </c>
      <c r="M12" s="11">
        <f t="shared" si="4"/>
        <v>5.4026152787336544E-2</v>
      </c>
      <c r="N12" s="96">
        <f>L12-'24년 1월'!L12</f>
        <v>3</v>
      </c>
      <c r="O12" s="73">
        <v>259</v>
      </c>
      <c r="P12" s="73">
        <v>55</v>
      </c>
      <c r="Q12" s="35">
        <v>3115</v>
      </c>
      <c r="R12" s="33">
        <f>Q12-'24년 1월'!Q12</f>
        <v>-9</v>
      </c>
      <c r="S12" s="73">
        <v>1.78</v>
      </c>
      <c r="T12" s="13"/>
      <c r="U12" s="48"/>
      <c r="V12" s="28">
        <v>5701</v>
      </c>
      <c r="W12" s="35">
        <v>3187</v>
      </c>
    </row>
    <row r="13" spans="1:24">
      <c r="A13" s="39"/>
      <c r="B13" s="9" t="s">
        <v>5</v>
      </c>
      <c r="C13" s="10">
        <f t="shared" si="2"/>
        <v>8673</v>
      </c>
      <c r="D13" s="20">
        <f t="shared" si="3"/>
        <v>2.206842152135469E-2</v>
      </c>
      <c r="E13" s="28">
        <v>8389</v>
      </c>
      <c r="F13" s="38">
        <f t="shared" si="5"/>
        <v>2.1666197477743659E-2</v>
      </c>
      <c r="G13" s="33">
        <f>E13-'24년 1월'!E13</f>
        <v>-2</v>
      </c>
      <c r="H13" s="51">
        <v>4502</v>
      </c>
      <c r="I13" s="38">
        <f t="shared" si="6"/>
        <v>1.1627276319561562E-2</v>
      </c>
      <c r="J13" s="51">
        <v>3887</v>
      </c>
      <c r="K13" s="38">
        <f t="shared" si="7"/>
        <v>1.0038921158182095E-2</v>
      </c>
      <c r="L13" s="28">
        <f t="shared" si="8"/>
        <v>284</v>
      </c>
      <c r="M13" s="11">
        <f t="shared" si="4"/>
        <v>4.8864418444597386E-2</v>
      </c>
      <c r="N13" s="96">
        <f>L13-'24년 1월'!L13</f>
        <v>-8</v>
      </c>
      <c r="O13" s="73">
        <v>189</v>
      </c>
      <c r="P13" s="73">
        <v>95</v>
      </c>
      <c r="Q13" s="35">
        <v>4767</v>
      </c>
      <c r="R13" s="33">
        <f>Q13-'24년 1월'!Q13</f>
        <v>2</v>
      </c>
      <c r="S13" s="73">
        <v>1.76</v>
      </c>
      <c r="T13" s="13"/>
      <c r="U13" s="48"/>
      <c r="V13" s="28">
        <v>8518</v>
      </c>
      <c r="W13" s="35">
        <v>4795</v>
      </c>
    </row>
    <row r="14" spans="1:24">
      <c r="A14" s="39"/>
      <c r="B14" s="9" t="s">
        <v>6</v>
      </c>
      <c r="C14" s="10">
        <f t="shared" si="2"/>
        <v>7045</v>
      </c>
      <c r="D14" s="20">
        <f t="shared" si="3"/>
        <v>1.7925980585488735E-2</v>
      </c>
      <c r="E14" s="28">
        <v>6600</v>
      </c>
      <c r="F14" s="38">
        <f t="shared" si="5"/>
        <v>1.7045762707486964E-2</v>
      </c>
      <c r="G14" s="33">
        <f>E14-'24년 1월'!E14</f>
        <v>20</v>
      </c>
      <c r="H14" s="51">
        <v>3876</v>
      </c>
      <c r="I14" s="38">
        <f t="shared" si="6"/>
        <v>1.0010511553669617E-2</v>
      </c>
      <c r="J14" s="51">
        <v>2724</v>
      </c>
      <c r="K14" s="38">
        <f t="shared" si="7"/>
        <v>7.0352511538173471E-3</v>
      </c>
      <c r="L14" s="28">
        <f t="shared" si="8"/>
        <v>445</v>
      </c>
      <c r="M14" s="11">
        <f t="shared" si="4"/>
        <v>7.6565726083964211E-2</v>
      </c>
      <c r="N14" s="96">
        <f>L14-'24년 1월'!L14</f>
        <v>-14</v>
      </c>
      <c r="O14" s="73">
        <v>325</v>
      </c>
      <c r="P14" s="73">
        <v>120</v>
      </c>
      <c r="Q14" s="35">
        <v>4107</v>
      </c>
      <c r="R14" s="33">
        <f>Q14-'24년 1월'!Q14</f>
        <v>13</v>
      </c>
      <c r="S14" s="73">
        <v>1.61</v>
      </c>
      <c r="T14" s="13"/>
      <c r="U14" s="48"/>
      <c r="V14" s="28">
        <v>6785</v>
      </c>
      <c r="W14" s="35">
        <v>4218</v>
      </c>
    </row>
    <row r="15" spans="1:24">
      <c r="A15" s="39"/>
      <c r="B15" s="9" t="s">
        <v>7</v>
      </c>
      <c r="C15" s="10">
        <f t="shared" si="2"/>
        <v>7102</v>
      </c>
      <c r="D15" s="20">
        <f t="shared" si="3"/>
        <v>1.8071016908181831E-2</v>
      </c>
      <c r="E15" s="28">
        <v>6874</v>
      </c>
      <c r="F15" s="38">
        <f t="shared" si="5"/>
        <v>1.7753420128979604E-2</v>
      </c>
      <c r="G15" s="33">
        <f>E15-'24년 1월'!E15</f>
        <v>-8</v>
      </c>
      <c r="H15" s="51">
        <v>3764</v>
      </c>
      <c r="I15" s="38">
        <f t="shared" si="6"/>
        <v>9.7212501259062011E-3</v>
      </c>
      <c r="J15" s="51">
        <v>3110</v>
      </c>
      <c r="K15" s="38">
        <f t="shared" si="7"/>
        <v>8.0321700030734026E-3</v>
      </c>
      <c r="L15" s="28">
        <f t="shared" si="8"/>
        <v>228</v>
      </c>
      <c r="M15" s="11">
        <f t="shared" si="4"/>
        <v>3.922918100481762E-2</v>
      </c>
      <c r="N15" s="96">
        <f>L15-'24년 1월'!L15</f>
        <v>-2</v>
      </c>
      <c r="O15" s="73">
        <v>174</v>
      </c>
      <c r="P15" s="73">
        <v>54</v>
      </c>
      <c r="Q15" s="35">
        <v>3726</v>
      </c>
      <c r="R15" s="33">
        <f>Q15-'24년 1월'!Q15</f>
        <v>5</v>
      </c>
      <c r="S15" s="73">
        <v>1.84</v>
      </c>
      <c r="T15" s="13"/>
      <c r="U15" s="48"/>
      <c r="V15" s="28">
        <v>7041</v>
      </c>
      <c r="W15" s="35">
        <v>3821</v>
      </c>
    </row>
    <row r="16" spans="1:24">
      <c r="A16" s="39"/>
      <c r="B16" s="9" t="s">
        <v>8</v>
      </c>
      <c r="C16" s="10">
        <f t="shared" si="2"/>
        <v>5777</v>
      </c>
      <c r="D16" s="20">
        <f t="shared" si="3"/>
        <v>1.4699558529789698E-2</v>
      </c>
      <c r="E16" s="28">
        <v>5250</v>
      </c>
      <c r="F16" s="38">
        <f t="shared" si="5"/>
        <v>1.3559129426410086E-2</v>
      </c>
      <c r="G16" s="33">
        <f>E16-'24년 1월'!E16</f>
        <v>-14</v>
      </c>
      <c r="H16" s="51">
        <v>2781</v>
      </c>
      <c r="I16" s="38">
        <f t="shared" si="6"/>
        <v>7.182464559018371E-3</v>
      </c>
      <c r="J16" s="51">
        <v>2469</v>
      </c>
      <c r="K16" s="38">
        <f t="shared" si="7"/>
        <v>6.3766648673917138E-3</v>
      </c>
      <c r="L16" s="28">
        <f t="shared" si="8"/>
        <v>527</v>
      </c>
      <c r="M16" s="11">
        <f t="shared" si="4"/>
        <v>9.0674466620784586E-2</v>
      </c>
      <c r="N16" s="96">
        <f>L16-'24년 1월'!L16</f>
        <v>-1</v>
      </c>
      <c r="O16" s="73">
        <v>443</v>
      </c>
      <c r="P16" s="73">
        <v>84</v>
      </c>
      <c r="Q16" s="35">
        <v>2956</v>
      </c>
      <c r="R16" s="33">
        <f>Q16-'24년 1월'!Q16</f>
        <v>-6</v>
      </c>
      <c r="S16" s="73">
        <v>1.78</v>
      </c>
      <c r="T16" s="13"/>
      <c r="U16" s="48"/>
      <c r="V16" s="28">
        <v>5397</v>
      </c>
      <c r="W16" s="35">
        <v>3039</v>
      </c>
    </row>
    <row r="17" spans="1:23">
      <c r="A17" s="39"/>
      <c r="B17" s="9" t="s">
        <v>9</v>
      </c>
      <c r="C17" s="10">
        <f t="shared" si="2"/>
        <v>3411</v>
      </c>
      <c r="D17" s="20">
        <f t="shared" si="3"/>
        <v>8.6792788895815581E-3</v>
      </c>
      <c r="E17" s="28">
        <v>3140</v>
      </c>
      <c r="F17" s="38">
        <f>E17/$E$8</f>
        <v>8.1096507426528883E-3</v>
      </c>
      <c r="G17" s="33">
        <f>E17-'24년 1월'!E17</f>
        <v>-3</v>
      </c>
      <c r="H17" s="51">
        <v>1677</v>
      </c>
      <c r="I17" s="38">
        <f t="shared" si="6"/>
        <v>4.3311733424932783E-3</v>
      </c>
      <c r="J17" s="51">
        <v>1463</v>
      </c>
      <c r="K17" s="38">
        <f t="shared" si="7"/>
        <v>3.7784774001596104E-3</v>
      </c>
      <c r="L17" s="28">
        <f t="shared" si="8"/>
        <v>271</v>
      </c>
      <c r="M17" s="11">
        <f t="shared" si="4"/>
        <v>4.6627666896077079E-2</v>
      </c>
      <c r="N17" s="96">
        <f>L17-'24년 1월'!L17</f>
        <v>18</v>
      </c>
      <c r="O17" s="73">
        <v>230</v>
      </c>
      <c r="P17" s="73">
        <v>41</v>
      </c>
      <c r="Q17" s="35">
        <v>1865</v>
      </c>
      <c r="R17" s="33">
        <f>Q17-'24년 1월'!Q17</f>
        <v>-2</v>
      </c>
      <c r="S17" s="73">
        <v>1.68</v>
      </c>
      <c r="T17" s="13"/>
      <c r="U17" s="48"/>
      <c r="V17" s="28">
        <v>3214</v>
      </c>
      <c r="W17" s="35">
        <v>1896</v>
      </c>
    </row>
    <row r="18" spans="1:23">
      <c r="A18" s="39"/>
      <c r="B18" s="9" t="s">
        <v>10</v>
      </c>
      <c r="C18" s="10">
        <f t="shared" si="2"/>
        <v>2404</v>
      </c>
      <c r="D18" s="20">
        <f t="shared" si="3"/>
        <v>6.116970522003537E-3</v>
      </c>
      <c r="E18" s="28">
        <v>2112</v>
      </c>
      <c r="F18" s="38">
        <f t="shared" si="5"/>
        <v>5.4546440663958288E-3</v>
      </c>
      <c r="G18" s="33">
        <f>E18-'24년 1월'!E18</f>
        <v>-17</v>
      </c>
      <c r="H18" s="51">
        <v>1140</v>
      </c>
      <c r="I18" s="38">
        <f t="shared" si="6"/>
        <v>2.9442681040204757E-3</v>
      </c>
      <c r="J18" s="51">
        <v>972</v>
      </c>
      <c r="K18" s="38">
        <f t="shared" si="7"/>
        <v>2.510375962375353E-3</v>
      </c>
      <c r="L18" s="28">
        <f t="shared" si="8"/>
        <v>292</v>
      </c>
      <c r="M18" s="11">
        <f t="shared" si="4"/>
        <v>5.0240880935994492E-2</v>
      </c>
      <c r="N18" s="96">
        <f>L18-'24년 1월'!L18</f>
        <v>3</v>
      </c>
      <c r="O18" s="73">
        <v>259</v>
      </c>
      <c r="P18" s="73">
        <v>33</v>
      </c>
      <c r="Q18" s="35">
        <v>1123</v>
      </c>
      <c r="R18" s="33">
        <f>Q18-'24년 1월'!Q18</f>
        <v>-1</v>
      </c>
      <c r="S18" s="73">
        <v>1.88</v>
      </c>
      <c r="T18" s="13"/>
      <c r="U18" s="48"/>
      <c r="V18" s="28">
        <v>2187</v>
      </c>
      <c r="W18" s="35">
        <v>1146</v>
      </c>
    </row>
    <row r="19" spans="1:23">
      <c r="A19" s="39"/>
      <c r="B19" s="9" t="s">
        <v>27</v>
      </c>
      <c r="C19" s="10">
        <f t="shared" si="2"/>
        <v>18276</v>
      </c>
      <c r="D19" s="20">
        <f t="shared" si="3"/>
        <v>4.6503225149807252E-2</v>
      </c>
      <c r="E19" s="28">
        <v>18216</v>
      </c>
      <c r="F19" s="38">
        <f t="shared" si="5"/>
        <v>4.7046305072664017E-2</v>
      </c>
      <c r="G19" s="33">
        <f>E19-'24년 1월'!E19</f>
        <v>-81</v>
      </c>
      <c r="H19" s="51">
        <v>8996</v>
      </c>
      <c r="I19" s="38">
        <f t="shared" si="6"/>
        <v>2.3233891108568595E-2</v>
      </c>
      <c r="J19" s="51">
        <v>9220</v>
      </c>
      <c r="K19" s="38">
        <f t="shared" si="7"/>
        <v>2.3812413964095426E-2</v>
      </c>
      <c r="L19" s="28">
        <f t="shared" si="8"/>
        <v>60</v>
      </c>
      <c r="M19" s="11">
        <f t="shared" si="4"/>
        <v>1.0323468685478321E-2</v>
      </c>
      <c r="N19" s="96">
        <f>L19-'24년 1월'!L19</f>
        <v>-2</v>
      </c>
      <c r="O19" s="73">
        <v>24</v>
      </c>
      <c r="P19" s="73">
        <v>36</v>
      </c>
      <c r="Q19" s="35">
        <v>6330</v>
      </c>
      <c r="R19" s="33">
        <f>Q19-'24년 1월'!Q19</f>
        <v>-19</v>
      </c>
      <c r="S19" s="73">
        <v>2.88</v>
      </c>
      <c r="T19" s="14"/>
      <c r="U19" s="48"/>
      <c r="V19" s="28">
        <v>18422</v>
      </c>
      <c r="W19" s="35">
        <v>6404</v>
      </c>
    </row>
    <row r="20" spans="1:23">
      <c r="A20" s="39"/>
      <c r="B20" s="9" t="s">
        <v>34</v>
      </c>
      <c r="C20" s="10">
        <f t="shared" si="2"/>
        <v>26701</v>
      </c>
      <c r="D20" s="20">
        <f t="shared" si="3"/>
        <v>6.7940611442602508E-2</v>
      </c>
      <c r="E20" s="28">
        <v>26631</v>
      </c>
      <c r="F20" s="38">
        <f t="shared" si="5"/>
        <v>6.8779652524709897E-2</v>
      </c>
      <c r="G20" s="33">
        <f>E20-'24년 1월'!E20</f>
        <v>16</v>
      </c>
      <c r="H20" s="51">
        <v>12858</v>
      </c>
      <c r="I20" s="38">
        <f t="shared" si="6"/>
        <v>3.3208244983767787E-2</v>
      </c>
      <c r="J20" s="51">
        <v>13773</v>
      </c>
      <c r="K20" s="38">
        <f t="shared" si="7"/>
        <v>3.5571407540942117E-2</v>
      </c>
      <c r="L20" s="28">
        <f t="shared" si="8"/>
        <v>70</v>
      </c>
      <c r="M20" s="11">
        <f t="shared" si="4"/>
        <v>1.2044046799724708E-2</v>
      </c>
      <c r="N20" s="96">
        <f>L20-'24년 1월'!L20</f>
        <v>2</v>
      </c>
      <c r="O20" s="73">
        <v>21</v>
      </c>
      <c r="P20" s="73">
        <v>49</v>
      </c>
      <c r="Q20" s="35">
        <v>9735</v>
      </c>
      <c r="R20" s="33">
        <f>Q20-'24년 1월'!Q20</f>
        <v>-5</v>
      </c>
      <c r="S20" s="73">
        <v>2.74</v>
      </c>
      <c r="T20" s="14"/>
      <c r="U20" s="48"/>
      <c r="V20" s="28">
        <v>26600</v>
      </c>
      <c r="W20" s="35">
        <v>9752</v>
      </c>
    </row>
    <row r="21" spans="1:23">
      <c r="A21" s="39"/>
      <c r="B21" s="21" t="s">
        <v>40</v>
      </c>
      <c r="C21" s="10">
        <f t="shared" si="2"/>
        <v>13285</v>
      </c>
      <c r="D21" s="20">
        <f t="shared" si="3"/>
        <v>3.3803641175048665E-2</v>
      </c>
      <c r="E21" s="29">
        <v>13148</v>
      </c>
      <c r="F21" s="38">
        <f t="shared" si="5"/>
        <v>3.3957225466369485E-2</v>
      </c>
      <c r="G21" s="33">
        <f>E21-'24년 1월'!E21</f>
        <v>29</v>
      </c>
      <c r="H21" s="51">
        <v>6447</v>
      </c>
      <c r="I21" s="38">
        <f t="shared" si="6"/>
        <v>1.6650610935631586E-2</v>
      </c>
      <c r="J21" s="51">
        <v>6701</v>
      </c>
      <c r="K21" s="38">
        <f t="shared" si="7"/>
        <v>1.7306614530737899E-2</v>
      </c>
      <c r="L21" s="28">
        <f t="shared" si="8"/>
        <v>137</v>
      </c>
      <c r="M21" s="11">
        <f t="shared" si="4"/>
        <v>2.3571920165175498E-2</v>
      </c>
      <c r="N21" s="96">
        <f>L21-'24년 1월'!L21</f>
        <v>-11</v>
      </c>
      <c r="O21" s="73">
        <v>60</v>
      </c>
      <c r="P21" s="73">
        <v>77</v>
      </c>
      <c r="Q21" s="36">
        <v>5906</v>
      </c>
      <c r="R21" s="33">
        <f>Q21-'24년 1월'!Q21</f>
        <v>19</v>
      </c>
      <c r="S21" s="74">
        <v>2.23</v>
      </c>
      <c r="T21" s="22"/>
      <c r="U21" s="48"/>
      <c r="V21" s="29">
        <v>13375</v>
      </c>
      <c r="W21" s="36">
        <v>6073</v>
      </c>
    </row>
    <row r="22" spans="1:23">
      <c r="A22" s="39"/>
      <c r="B22" s="21" t="s">
        <v>41</v>
      </c>
      <c r="C22" s="10">
        <f>E22+L22</f>
        <v>25314</v>
      </c>
      <c r="D22" s="20">
        <f t="shared" si="3"/>
        <v>6.4411394257070514E-2</v>
      </c>
      <c r="E22" s="29">
        <v>25166</v>
      </c>
      <c r="F22" s="38">
        <f t="shared" si="5"/>
        <v>6.4996009741911651E-2</v>
      </c>
      <c r="G22" s="33">
        <f>E22-'24년 1월'!E22</f>
        <v>-47</v>
      </c>
      <c r="H22" s="51">
        <v>12095</v>
      </c>
      <c r="I22" s="38">
        <f t="shared" si="6"/>
        <v>3.1237651507129521E-2</v>
      </c>
      <c r="J22" s="51">
        <v>13071</v>
      </c>
      <c r="K22" s="38">
        <f t="shared" si="7"/>
        <v>3.375835823478214E-2</v>
      </c>
      <c r="L22" s="28">
        <f t="shared" si="8"/>
        <v>148</v>
      </c>
      <c r="M22" s="11">
        <f t="shared" si="4"/>
        <v>2.5464556090846524E-2</v>
      </c>
      <c r="N22" s="96">
        <f>L22-'24년 1월'!L22</f>
        <v>-2</v>
      </c>
      <c r="O22" s="73">
        <v>54</v>
      </c>
      <c r="P22" s="73">
        <v>94</v>
      </c>
      <c r="Q22" s="36">
        <v>10242</v>
      </c>
      <c r="R22" s="33">
        <f>Q22-'24년 1월'!Q22</f>
        <v>5</v>
      </c>
      <c r="S22" s="74">
        <v>2.46</v>
      </c>
      <c r="T22" s="22"/>
      <c r="U22" s="48"/>
      <c r="V22" s="29">
        <v>25473</v>
      </c>
      <c r="W22" s="36">
        <v>10280</v>
      </c>
    </row>
    <row r="23" spans="1:23">
      <c r="A23" s="39"/>
      <c r="B23" s="21" t="s">
        <v>42</v>
      </c>
      <c r="C23" s="10">
        <f t="shared" si="2"/>
        <v>11256</v>
      </c>
      <c r="D23" s="20">
        <f t="shared" si="3"/>
        <v>2.8640856986552336E-2</v>
      </c>
      <c r="E23" s="29">
        <v>11196</v>
      </c>
      <c r="F23" s="38">
        <f t="shared" si="5"/>
        <v>2.8915812011064249E-2</v>
      </c>
      <c r="G23" s="33">
        <f>E23-'24년 1월'!E23</f>
        <v>61</v>
      </c>
      <c r="H23" s="51">
        <v>5543</v>
      </c>
      <c r="I23" s="38">
        <f t="shared" si="6"/>
        <v>1.4315857982969733E-2</v>
      </c>
      <c r="J23" s="51">
        <v>5653</v>
      </c>
      <c r="K23" s="38">
        <f t="shared" si="7"/>
        <v>1.4599954028094516E-2</v>
      </c>
      <c r="L23" s="28">
        <f t="shared" si="8"/>
        <v>60</v>
      </c>
      <c r="M23" s="11">
        <f t="shared" si="4"/>
        <v>1.0323468685478321E-2</v>
      </c>
      <c r="N23" s="96">
        <f>L23-'24년 1월'!L23</f>
        <v>4</v>
      </c>
      <c r="O23" s="73">
        <v>27</v>
      </c>
      <c r="P23" s="73">
        <v>33</v>
      </c>
      <c r="Q23" s="36">
        <v>5268</v>
      </c>
      <c r="R23" s="33">
        <f>Q23-'24년 1월'!Q23</f>
        <v>34</v>
      </c>
      <c r="S23" s="74">
        <v>2.13</v>
      </c>
      <c r="T23" s="22"/>
      <c r="U23" s="48"/>
      <c r="V23" s="29">
        <v>11235</v>
      </c>
      <c r="W23" s="36">
        <v>5323</v>
      </c>
    </row>
    <row r="24" spans="1:23">
      <c r="A24" s="39"/>
      <c r="B24" s="9" t="s">
        <v>43</v>
      </c>
      <c r="C24" s="10">
        <f t="shared" si="2"/>
        <v>12025</v>
      </c>
      <c r="D24" s="20">
        <f t="shared" si="3"/>
        <v>3.0597575094464449E-2</v>
      </c>
      <c r="E24" s="28">
        <v>11935</v>
      </c>
      <c r="F24" s="38">
        <f t="shared" si="5"/>
        <v>3.0824420896038925E-2</v>
      </c>
      <c r="G24" s="33">
        <f>E24-'24년 1월'!E24</f>
        <v>930</v>
      </c>
      <c r="H24" s="51">
        <v>5789</v>
      </c>
      <c r="I24" s="38">
        <f t="shared" si="6"/>
        <v>1.4951200047521521E-2</v>
      </c>
      <c r="J24" s="51">
        <v>6146</v>
      </c>
      <c r="K24" s="38">
        <f t="shared" si="7"/>
        <v>1.5873220848517406E-2</v>
      </c>
      <c r="L24" s="28">
        <f t="shared" si="8"/>
        <v>90</v>
      </c>
      <c r="M24" s="11">
        <f t="shared" si="4"/>
        <v>1.5485203028217482E-2</v>
      </c>
      <c r="N24" s="96">
        <f>L24-'24년 1월'!L24</f>
        <v>3</v>
      </c>
      <c r="O24" s="73">
        <v>59</v>
      </c>
      <c r="P24" s="73">
        <v>31</v>
      </c>
      <c r="Q24" s="35">
        <v>4508</v>
      </c>
      <c r="R24" s="33">
        <f>Q24-'24년 1월'!Q24</f>
        <v>333</v>
      </c>
      <c r="S24" s="73">
        <v>2.65</v>
      </c>
      <c r="T24" s="14"/>
      <c r="U24" s="48"/>
      <c r="V24" s="28">
        <v>8925</v>
      </c>
      <c r="W24" s="35">
        <v>3139</v>
      </c>
    </row>
    <row r="25" spans="1:23">
      <c r="A25" s="39"/>
      <c r="B25" s="18" t="s">
        <v>28</v>
      </c>
      <c r="C25" s="10">
        <f t="shared" si="2"/>
        <v>23552</v>
      </c>
      <c r="D25" s="20">
        <f t="shared" si="3"/>
        <v>5.9927990738031324E-2</v>
      </c>
      <c r="E25" s="30">
        <v>23492</v>
      </c>
      <c r="F25" s="38">
        <f t="shared" si="5"/>
        <v>6.0672584473376326E-2</v>
      </c>
      <c r="G25" s="33">
        <f>E25-'24년 1월'!E25</f>
        <v>-74</v>
      </c>
      <c r="H25" s="51">
        <v>11598</v>
      </c>
      <c r="I25" s="38">
        <f t="shared" si="6"/>
        <v>2.9954053921429365E-2</v>
      </c>
      <c r="J25" s="51">
        <v>11894</v>
      </c>
      <c r="K25" s="38">
        <f t="shared" si="7"/>
        <v>3.0718530551946961E-2</v>
      </c>
      <c r="L25" s="28">
        <f t="shared" si="8"/>
        <v>60</v>
      </c>
      <c r="M25" s="11">
        <f t="shared" si="4"/>
        <v>1.0323468685478321E-2</v>
      </c>
      <c r="N25" s="96">
        <f>L25-'24년 1월'!L25</f>
        <v>0</v>
      </c>
      <c r="O25" s="73">
        <v>22</v>
      </c>
      <c r="P25" s="73">
        <v>38</v>
      </c>
      <c r="Q25" s="37">
        <v>7939</v>
      </c>
      <c r="R25" s="33">
        <f>Q25-'24년 1월'!Q25</f>
        <v>-6</v>
      </c>
      <c r="S25" s="75">
        <v>2.96</v>
      </c>
      <c r="T25" s="23"/>
      <c r="U25" s="48"/>
      <c r="V25" s="30">
        <v>23623</v>
      </c>
      <c r="W25" s="37">
        <v>7957</v>
      </c>
    </row>
    <row r="26" spans="1:23">
      <c r="A26" s="76"/>
      <c r="B26" s="9" t="s">
        <v>29</v>
      </c>
      <c r="C26" s="10">
        <f t="shared" si="2"/>
        <v>28137</v>
      </c>
      <c r="D26" s="20">
        <f t="shared" si="3"/>
        <v>7.1594508975712776E-2</v>
      </c>
      <c r="E26" s="28">
        <v>28011</v>
      </c>
      <c r="F26" s="38">
        <f t="shared" si="5"/>
        <v>7.234376654536627E-2</v>
      </c>
      <c r="G26" s="33">
        <f>E26-'24년 1월'!E26</f>
        <v>-186</v>
      </c>
      <c r="H26" s="51">
        <v>13604</v>
      </c>
      <c r="I26" s="38">
        <f t="shared" si="6"/>
        <v>3.5134932707977677E-2</v>
      </c>
      <c r="J26" s="51">
        <v>14407</v>
      </c>
      <c r="K26" s="38">
        <f t="shared" si="7"/>
        <v>3.7208833837388586E-2</v>
      </c>
      <c r="L26" s="28">
        <f t="shared" si="8"/>
        <v>126</v>
      </c>
      <c r="M26" s="11">
        <f t="shared" si="4"/>
        <v>2.1679284239504472E-2</v>
      </c>
      <c r="N26" s="96">
        <f>L26-'24년 1월'!L26</f>
        <v>2</v>
      </c>
      <c r="O26" s="73">
        <v>35</v>
      </c>
      <c r="P26" s="73">
        <v>91</v>
      </c>
      <c r="Q26" s="35">
        <v>10785</v>
      </c>
      <c r="R26" s="33">
        <f>Q26-'24년 1월'!Q26</f>
        <v>-23</v>
      </c>
      <c r="S26" s="73">
        <v>2.6</v>
      </c>
      <c r="T26" s="12"/>
      <c r="U26" s="48"/>
      <c r="V26" s="28">
        <v>28470</v>
      </c>
      <c r="W26" s="35">
        <v>10826</v>
      </c>
    </row>
    <row r="27" spans="1:23">
      <c r="A27" s="77"/>
      <c r="B27" s="9" t="s">
        <v>30</v>
      </c>
      <c r="C27" s="10">
        <f t="shared" si="2"/>
        <v>36292</v>
      </c>
      <c r="D27" s="20">
        <f t="shared" si="3"/>
        <v>9.2344881108382848E-2</v>
      </c>
      <c r="E27" s="28">
        <v>36166</v>
      </c>
      <c r="F27" s="38">
        <f t="shared" si="5"/>
        <v>9.3405614254389924E-2</v>
      </c>
      <c r="G27" s="33">
        <f>E27-'24년 1월'!E27</f>
        <v>-39</v>
      </c>
      <c r="H27" s="51">
        <v>17753</v>
      </c>
      <c r="I27" s="38">
        <f t="shared" si="6"/>
        <v>4.5850518991820619E-2</v>
      </c>
      <c r="J27" s="51">
        <v>18413</v>
      </c>
      <c r="K27" s="38">
        <f t="shared" si="7"/>
        <v>4.7555095262569312E-2</v>
      </c>
      <c r="L27" s="28">
        <f t="shared" si="8"/>
        <v>126</v>
      </c>
      <c r="M27" s="11">
        <f t="shared" si="4"/>
        <v>2.1679284239504472E-2</v>
      </c>
      <c r="N27" s="96">
        <f>L27-'24년 1월'!L27</f>
        <v>0</v>
      </c>
      <c r="O27" s="73">
        <v>41</v>
      </c>
      <c r="P27" s="73">
        <v>85</v>
      </c>
      <c r="Q27" s="35">
        <v>12813</v>
      </c>
      <c r="R27" s="33">
        <f>Q27-'24년 1월'!Q27</f>
        <v>12</v>
      </c>
      <c r="S27" s="73">
        <v>2.82</v>
      </c>
      <c r="T27" s="15"/>
      <c r="U27" s="48"/>
      <c r="V27" s="28">
        <v>35257</v>
      </c>
      <c r="W27" s="35">
        <v>12436</v>
      </c>
    </row>
    <row r="28" spans="1:23">
      <c r="A28" s="77"/>
      <c r="B28" s="9" t="s">
        <v>31</v>
      </c>
      <c r="C28" s="10">
        <f t="shared" si="2"/>
        <v>21917</v>
      </c>
      <c r="D28" s="20">
        <f t="shared" si="3"/>
        <v>5.57677383239399E-2</v>
      </c>
      <c r="E28" s="28">
        <v>21809</v>
      </c>
      <c r="F28" s="38">
        <f t="shared" si="5"/>
        <v>5.632591498296715E-2</v>
      </c>
      <c r="G28" s="33">
        <f>E28-'24년 1월'!E28</f>
        <v>-123</v>
      </c>
      <c r="H28" s="51">
        <v>10627</v>
      </c>
      <c r="I28" s="38">
        <f t="shared" si="6"/>
        <v>2.7446260650373328E-2</v>
      </c>
      <c r="J28" s="51">
        <v>11182</v>
      </c>
      <c r="K28" s="38">
        <f t="shared" si="7"/>
        <v>2.8879654332593822E-2</v>
      </c>
      <c r="L28" s="28">
        <f t="shared" si="8"/>
        <v>108</v>
      </c>
      <c r="M28" s="11">
        <f t="shared" si="4"/>
        <v>1.8582243633860976E-2</v>
      </c>
      <c r="N28" s="96">
        <f>L28-'24년 1월'!L28</f>
        <v>-3</v>
      </c>
      <c r="O28" s="73">
        <v>35</v>
      </c>
      <c r="P28" s="73">
        <v>73</v>
      </c>
      <c r="Q28" s="35">
        <v>8423</v>
      </c>
      <c r="R28" s="33">
        <f>Q28-'24년 1월'!Q28</f>
        <v>-13</v>
      </c>
      <c r="S28" s="73">
        <v>2.59</v>
      </c>
      <c r="T28" s="15"/>
      <c r="U28" s="48"/>
      <c r="V28" s="28">
        <v>21830</v>
      </c>
      <c r="W28" s="35">
        <v>8390</v>
      </c>
    </row>
    <row r="29" spans="1:23">
      <c r="A29" s="77"/>
      <c r="B29" s="9" t="s">
        <v>44</v>
      </c>
      <c r="C29" s="10">
        <f t="shared" si="2"/>
        <v>28824</v>
      </c>
      <c r="D29" s="20">
        <f>C29/$C$8</f>
        <v>7.3342578338697978E-2</v>
      </c>
      <c r="E29" s="28">
        <v>28546</v>
      </c>
      <c r="F29" s="38">
        <f t="shared" si="5"/>
        <v>7.372550640120043E-2</v>
      </c>
      <c r="G29" s="33">
        <f>E29-'24년 1월'!E29</f>
        <v>-6</v>
      </c>
      <c r="H29" s="51">
        <v>13999</v>
      </c>
      <c r="I29" s="38">
        <f t="shared" si="6"/>
        <v>3.6155095779107575E-2</v>
      </c>
      <c r="J29" s="51">
        <v>14547</v>
      </c>
      <c r="K29" s="38">
        <f t="shared" si="7"/>
        <v>3.7570410622092855E-2</v>
      </c>
      <c r="L29" s="28">
        <f t="shared" si="8"/>
        <v>278</v>
      </c>
      <c r="M29" s="11">
        <f t="shared" si="4"/>
        <v>4.7832071576049552E-2</v>
      </c>
      <c r="N29" s="96">
        <f>L29-'24년 1월'!L29</f>
        <v>72</v>
      </c>
      <c r="O29" s="73">
        <v>123</v>
      </c>
      <c r="P29" s="73">
        <v>155</v>
      </c>
      <c r="Q29" s="35">
        <v>12060</v>
      </c>
      <c r="R29" s="33">
        <f>Q29-'24년 1월'!Q29</f>
        <v>-2</v>
      </c>
      <c r="S29" s="73">
        <v>2.37</v>
      </c>
      <c r="T29" s="15"/>
      <c r="U29" s="48"/>
      <c r="V29" s="28">
        <v>28108</v>
      </c>
      <c r="W29" s="35">
        <v>11868</v>
      </c>
    </row>
    <row r="30" spans="1:23">
      <c r="A30" s="77"/>
      <c r="B30" s="9" t="s">
        <v>32</v>
      </c>
      <c r="C30" s="10">
        <f t="shared" si="2"/>
        <v>19013</v>
      </c>
      <c r="D30" s="20">
        <f t="shared" si="3"/>
        <v>4.8378519357260084E-2</v>
      </c>
      <c r="E30" s="28">
        <v>18955</v>
      </c>
      <c r="F30" s="38">
        <f t="shared" si="5"/>
        <v>4.89549139576387E-2</v>
      </c>
      <c r="G30" s="33">
        <f>E30-'24년 1월'!E30</f>
        <v>-21</v>
      </c>
      <c r="H30" s="51">
        <v>9319</v>
      </c>
      <c r="I30" s="38">
        <f t="shared" si="6"/>
        <v>2.4068100404707731E-2</v>
      </c>
      <c r="J30" s="51">
        <v>9636</v>
      </c>
      <c r="K30" s="38">
        <f t="shared" si="7"/>
        <v>2.4886813552930966E-2</v>
      </c>
      <c r="L30" s="28">
        <f t="shared" si="8"/>
        <v>58</v>
      </c>
      <c r="M30" s="11">
        <f t="shared" si="4"/>
        <v>9.9793530626290441E-3</v>
      </c>
      <c r="N30" s="96">
        <f>L30-'24년 1월'!L30</f>
        <v>0</v>
      </c>
      <c r="O30" s="73">
        <v>21</v>
      </c>
      <c r="P30" s="73">
        <v>37</v>
      </c>
      <c r="Q30" s="35">
        <v>6972</v>
      </c>
      <c r="R30" s="33">
        <f>Q30-'24년 1월'!Q30</f>
        <v>8</v>
      </c>
      <c r="S30" s="73">
        <v>2.72</v>
      </c>
      <c r="T30" s="15"/>
      <c r="U30" s="48"/>
      <c r="V30" s="28">
        <v>18980</v>
      </c>
      <c r="W30" s="35">
        <v>6924</v>
      </c>
    </row>
    <row r="31" spans="1:23">
      <c r="A31" s="77"/>
      <c r="B31" s="16" t="s">
        <v>45</v>
      </c>
      <c r="C31" s="10">
        <f t="shared" si="2"/>
        <v>11347</v>
      </c>
      <c r="D31" s="20">
        <f t="shared" si="3"/>
        <v>2.8872406203483417E-2</v>
      </c>
      <c r="E31" s="28">
        <v>11310</v>
      </c>
      <c r="F31" s="38">
        <f t="shared" si="5"/>
        <v>2.9210238821466297E-2</v>
      </c>
      <c r="G31" s="33">
        <f>E31-'24년 1월'!E31</f>
        <v>-6</v>
      </c>
      <c r="H31" s="51">
        <v>5580</v>
      </c>
      <c r="I31" s="38">
        <f t="shared" si="6"/>
        <v>1.4411417561784432E-2</v>
      </c>
      <c r="J31" s="51">
        <v>5730</v>
      </c>
      <c r="K31" s="38">
        <f t="shared" si="7"/>
        <v>1.4798821259681865E-2</v>
      </c>
      <c r="L31" s="28">
        <f t="shared" si="8"/>
        <v>37</v>
      </c>
      <c r="M31" s="11">
        <f t="shared" si="4"/>
        <v>6.366139022711631E-3</v>
      </c>
      <c r="N31" s="96">
        <f>L31-'24년 1월'!L31</f>
        <v>2</v>
      </c>
      <c r="O31" s="73">
        <v>10</v>
      </c>
      <c r="P31" s="73">
        <v>27</v>
      </c>
      <c r="Q31" s="35">
        <v>4392</v>
      </c>
      <c r="R31" s="33">
        <f>Q31-'24년 1월'!Q31</f>
        <v>3</v>
      </c>
      <c r="S31" s="73">
        <v>2.58</v>
      </c>
      <c r="T31" s="12"/>
      <c r="U31" s="48"/>
      <c r="V31" s="28">
        <v>11256</v>
      </c>
      <c r="W31" s="35">
        <v>4368</v>
      </c>
    </row>
    <row r="32" spans="1:23">
      <c r="A32" s="78"/>
      <c r="B32" s="16" t="s">
        <v>46</v>
      </c>
      <c r="C32" s="10">
        <f t="shared" si="2"/>
        <v>28601</v>
      </c>
      <c r="D32" s="20">
        <f t="shared" si="3"/>
        <v>7.2775155532372363E-2</v>
      </c>
      <c r="E32" s="28">
        <v>28522</v>
      </c>
      <c r="F32" s="38">
        <f t="shared" si="5"/>
        <v>7.366352180953685E-2</v>
      </c>
      <c r="G32" s="33">
        <f>E32-'24년 1월'!E32</f>
        <v>-62</v>
      </c>
      <c r="H32" s="51">
        <v>13699</v>
      </c>
      <c r="I32" s="38">
        <f t="shared" si="6"/>
        <v>3.5380288383312718E-2</v>
      </c>
      <c r="J32" s="51">
        <v>14823</v>
      </c>
      <c r="K32" s="38">
        <f t="shared" si="7"/>
        <v>3.8283233426224132E-2</v>
      </c>
      <c r="L32" s="28">
        <f t="shared" si="8"/>
        <v>79</v>
      </c>
      <c r="M32" s="11">
        <f t="shared" si="4"/>
        <v>1.3592567102546456E-2</v>
      </c>
      <c r="N32" s="96">
        <f>L32-'24년 1월'!L32</f>
        <v>0</v>
      </c>
      <c r="O32" s="73">
        <v>28</v>
      </c>
      <c r="P32" s="73">
        <v>51</v>
      </c>
      <c r="Q32" s="35">
        <v>10826</v>
      </c>
      <c r="R32" s="33">
        <f>Q32-'24년 1월'!Q32</f>
        <v>9</v>
      </c>
      <c r="S32" s="73">
        <v>2.63</v>
      </c>
      <c r="T32" s="12"/>
      <c r="U32" s="48"/>
      <c r="V32" s="28">
        <v>28539</v>
      </c>
      <c r="W32" s="35">
        <v>10819</v>
      </c>
    </row>
    <row r="33" spans="1:21">
      <c r="A33" s="79"/>
      <c r="B33" s="80"/>
      <c r="C33" s="41"/>
      <c r="D33" s="41"/>
      <c r="E33" s="81"/>
      <c r="F33" s="81"/>
      <c r="G33" s="82"/>
      <c r="H33" s="81"/>
      <c r="I33" s="83"/>
      <c r="J33" s="81"/>
      <c r="K33" s="83"/>
      <c r="L33" s="47"/>
      <c r="N33" s="48"/>
      <c r="Q33" s="84"/>
      <c r="R33" s="85"/>
      <c r="S33" s="86"/>
      <c r="T33" s="87"/>
      <c r="U33" s="48"/>
    </row>
    <row r="34" spans="1:21">
      <c r="A34" s="39"/>
      <c r="B34" s="40" t="s">
        <v>47</v>
      </c>
      <c r="E34" s="41"/>
      <c r="F34" s="41"/>
      <c r="G34" s="41"/>
      <c r="H34" s="42"/>
      <c r="I34" s="43"/>
      <c r="J34" s="44"/>
      <c r="K34" s="44"/>
      <c r="Q34" s="45"/>
      <c r="R34" s="46"/>
      <c r="S34" s="47"/>
      <c r="U34" s="48"/>
    </row>
    <row r="35" spans="1:21">
      <c r="A35" s="39"/>
      <c r="B35" s="88"/>
      <c r="E35" s="41"/>
      <c r="F35" s="41"/>
      <c r="G35" s="41"/>
      <c r="H35" s="42"/>
      <c r="I35" s="43"/>
      <c r="J35" s="44"/>
      <c r="K35" s="44"/>
      <c r="Q35" s="45"/>
      <c r="R35" s="46"/>
      <c r="S35" s="47"/>
      <c r="U35" s="48"/>
    </row>
  </sheetData>
  <mergeCells count="12">
    <mergeCell ref="Q6:Q7"/>
    <mergeCell ref="R6:R7"/>
    <mergeCell ref="B2:T2"/>
    <mergeCell ref="B5:B7"/>
    <mergeCell ref="E5:K5"/>
    <mergeCell ref="Q5:R5"/>
    <mergeCell ref="S5:S7"/>
    <mergeCell ref="T5:T7"/>
    <mergeCell ref="C6:C7"/>
    <mergeCell ref="D6:D7"/>
    <mergeCell ref="E6:K6"/>
    <mergeCell ref="L6:P6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B7D2-3F8E-4066-A6FB-C11D79FC79C6}">
  <sheetPr>
    <tabColor theme="7"/>
  </sheetPr>
  <dimension ref="A1:X35"/>
  <sheetViews>
    <sheetView zoomScale="115" zoomScaleNormal="115" workbookViewId="0">
      <selection activeCell="G11" sqref="G11"/>
    </sheetView>
  </sheetViews>
  <sheetFormatPr defaultRowHeight="16.5"/>
  <cols>
    <col min="1" max="1" width="1.25" customWidth="1"/>
    <col min="6" max="6" width="10" customWidth="1"/>
    <col min="13" max="13" width="9.875" customWidth="1"/>
    <col min="21" max="21" width="23.75" customWidth="1"/>
    <col min="22" max="23" width="9.625" hidden="1" customWidth="1"/>
  </cols>
  <sheetData>
    <row r="1" spans="1:24">
      <c r="A1" s="39"/>
      <c r="B1" s="52"/>
      <c r="C1" s="1"/>
      <c r="D1" s="1"/>
      <c r="E1" s="53"/>
      <c r="F1" s="53"/>
      <c r="G1" s="53"/>
      <c r="H1" s="53"/>
      <c r="I1" s="53"/>
      <c r="J1" s="53"/>
      <c r="K1" s="53"/>
      <c r="L1" s="2"/>
      <c r="M1" s="2"/>
      <c r="N1" s="2"/>
      <c r="O1" s="2"/>
      <c r="P1" s="2"/>
      <c r="Q1" s="53"/>
      <c r="R1" s="54"/>
      <c r="S1" s="55"/>
      <c r="T1" s="53"/>
      <c r="U1" s="48"/>
    </row>
    <row r="2" spans="1:24" ht="31.5">
      <c r="A2" s="56"/>
      <c r="B2" s="149" t="s">
        <v>54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48"/>
    </row>
    <row r="3" spans="1:24" ht="26.25">
      <c r="A3" s="56"/>
      <c r="B3" s="57"/>
      <c r="C3" s="3"/>
      <c r="D3" s="3"/>
      <c r="E3" s="58"/>
      <c r="F3" s="58"/>
      <c r="G3" s="58"/>
      <c r="H3" s="58"/>
      <c r="I3" s="58"/>
      <c r="J3" s="58"/>
      <c r="K3" s="58"/>
      <c r="L3" s="4"/>
      <c r="M3" s="4"/>
      <c r="O3" s="26"/>
      <c r="P3" s="26"/>
      <c r="Q3" s="58"/>
      <c r="R3" s="59"/>
      <c r="S3" s="60"/>
      <c r="T3" s="58"/>
      <c r="U3" s="48"/>
    </row>
    <row r="4" spans="1:24" ht="17.25">
      <c r="A4" s="39"/>
      <c r="B4" s="61" t="s">
        <v>55</v>
      </c>
      <c r="C4" s="5"/>
      <c r="D4" s="5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64"/>
      <c r="S4" s="65"/>
      <c r="T4" s="66" t="s">
        <v>11</v>
      </c>
      <c r="U4" s="48"/>
    </row>
    <row r="5" spans="1:24">
      <c r="A5" s="39"/>
      <c r="B5" s="170" t="s">
        <v>12</v>
      </c>
      <c r="C5" s="99"/>
      <c r="D5" s="99"/>
      <c r="E5" s="166"/>
      <c r="F5" s="166"/>
      <c r="G5" s="166"/>
      <c r="H5" s="166"/>
      <c r="I5" s="166"/>
      <c r="J5" s="166"/>
      <c r="K5" s="166"/>
      <c r="L5" s="98"/>
      <c r="M5" s="98"/>
      <c r="N5" s="98"/>
      <c r="O5" s="98"/>
      <c r="P5" s="98"/>
      <c r="Q5" s="168" t="s">
        <v>13</v>
      </c>
      <c r="R5" s="166"/>
      <c r="S5" s="173" t="s">
        <v>37</v>
      </c>
      <c r="T5" s="170" t="s">
        <v>48</v>
      </c>
      <c r="U5" s="48"/>
    </row>
    <row r="6" spans="1:24">
      <c r="A6" s="39"/>
      <c r="B6" s="171"/>
      <c r="C6" s="161" t="s">
        <v>33</v>
      </c>
      <c r="D6" s="163" t="s">
        <v>14</v>
      </c>
      <c r="E6" s="165" t="s">
        <v>15</v>
      </c>
      <c r="F6" s="166"/>
      <c r="G6" s="166"/>
      <c r="H6" s="166"/>
      <c r="I6" s="166"/>
      <c r="J6" s="166"/>
      <c r="K6" s="167"/>
      <c r="L6" s="165" t="s">
        <v>0</v>
      </c>
      <c r="M6" s="169"/>
      <c r="N6" s="169"/>
      <c r="O6" s="169"/>
      <c r="P6" s="169"/>
      <c r="Q6" s="145" t="s">
        <v>16</v>
      </c>
      <c r="R6" s="147" t="s">
        <v>17</v>
      </c>
      <c r="S6" s="156"/>
      <c r="T6" s="171"/>
      <c r="U6" s="48"/>
    </row>
    <row r="7" spans="1:24" ht="29.25" thickBot="1">
      <c r="A7" s="39"/>
      <c r="B7" s="172"/>
      <c r="C7" s="174"/>
      <c r="D7" s="175"/>
      <c r="E7" s="97" t="s">
        <v>18</v>
      </c>
      <c r="F7" s="67" t="s">
        <v>19</v>
      </c>
      <c r="G7" s="68" t="s">
        <v>17</v>
      </c>
      <c r="H7" s="69" t="s">
        <v>20</v>
      </c>
      <c r="I7" s="68" t="s">
        <v>50</v>
      </c>
      <c r="J7" s="69" t="s">
        <v>21</v>
      </c>
      <c r="K7" s="68" t="s">
        <v>49</v>
      </c>
      <c r="L7" s="7" t="s">
        <v>22</v>
      </c>
      <c r="M7" s="6" t="s">
        <v>23</v>
      </c>
      <c r="N7" s="6" t="s">
        <v>17</v>
      </c>
      <c r="O7" s="17" t="s">
        <v>24</v>
      </c>
      <c r="P7" s="7" t="s">
        <v>25</v>
      </c>
      <c r="Q7" s="146"/>
      <c r="R7" s="148"/>
      <c r="S7" s="157"/>
      <c r="T7" s="172"/>
      <c r="U7" s="48"/>
      <c r="V7" s="70" t="s">
        <v>38</v>
      </c>
      <c r="W7" s="70" t="s">
        <v>39</v>
      </c>
    </row>
    <row r="8" spans="1:24" ht="17.25" thickTop="1">
      <c r="A8" s="39"/>
      <c r="B8" s="71" t="s">
        <v>26</v>
      </c>
      <c r="C8" s="8">
        <f>SUM(C9:C32)</f>
        <v>392716</v>
      </c>
      <c r="D8" s="19">
        <f>SUM(D9:D32)</f>
        <v>1.0000000000000004</v>
      </c>
      <c r="E8" s="49">
        <v>386944</v>
      </c>
      <c r="F8" s="19">
        <f>SUM(F9:F32)</f>
        <v>0.99999999999999989</v>
      </c>
      <c r="G8" s="32" t="e">
        <f>SUM(G9:G32)</f>
        <v>#REF!</v>
      </c>
      <c r="H8" s="50">
        <v>192704</v>
      </c>
      <c r="I8" s="91">
        <f t="shared" ref="I8:K8" si="0">SUM(I9:I32)</f>
        <v>0.49801521667217996</v>
      </c>
      <c r="J8" s="50">
        <v>194240</v>
      </c>
      <c r="K8" s="91">
        <f t="shared" si="0"/>
        <v>0.50198478332782004</v>
      </c>
      <c r="L8" s="28">
        <f>SUM(O8:P8)</f>
        <v>5772</v>
      </c>
      <c r="M8" s="91">
        <f t="shared" ref="M8" si="1">SUM(M9:M32)</f>
        <v>1.0000000000000002</v>
      </c>
      <c r="N8" s="96" t="e">
        <f>L8-#REF!</f>
        <v>#REF!</v>
      </c>
      <c r="O8" s="31">
        <f>SUM(O9:O32)</f>
        <v>3528</v>
      </c>
      <c r="P8" s="31">
        <f>SUM(P9:P32)</f>
        <v>2244</v>
      </c>
      <c r="Q8" s="34">
        <v>160942</v>
      </c>
      <c r="R8" s="32" t="e">
        <f>SUM(R9:R32)</f>
        <v>#REF!</v>
      </c>
      <c r="S8" s="89">
        <v>2.4</v>
      </c>
      <c r="T8" s="72"/>
      <c r="U8" s="92"/>
      <c r="V8" s="49">
        <v>386192</v>
      </c>
      <c r="W8" s="34">
        <v>160562</v>
      </c>
      <c r="X8" s="25"/>
    </row>
    <row r="9" spans="1:24">
      <c r="A9" s="39"/>
      <c r="B9" s="9" t="s">
        <v>1</v>
      </c>
      <c r="C9" s="10">
        <f t="shared" ref="C9:C32" si="2">E9+L9</f>
        <v>42726</v>
      </c>
      <c r="D9" s="20">
        <f t="shared" ref="D9:D32" si="3">C9/$C$8</f>
        <v>0.1087961784088247</v>
      </c>
      <c r="E9" s="28">
        <v>40962</v>
      </c>
      <c r="F9" s="38">
        <f>E9/$E$8</f>
        <v>0.105860279523652</v>
      </c>
      <c r="G9" s="33" t="e">
        <f>E9-#REF!</f>
        <v>#REF!</v>
      </c>
      <c r="H9" s="51">
        <v>21298</v>
      </c>
      <c r="I9" s="38">
        <f>H9/$E$8</f>
        <v>5.5041556400926235E-2</v>
      </c>
      <c r="J9" s="51">
        <v>19664</v>
      </c>
      <c r="K9" s="38">
        <f>J9/$E$8</f>
        <v>5.081872312272577E-2</v>
      </c>
      <c r="L9" s="28">
        <f>SUM(O9:P9)</f>
        <v>1764</v>
      </c>
      <c r="M9" s="11">
        <f t="shared" ref="M9:M32" si="4">L9/$L$8</f>
        <v>0.30561330561330563</v>
      </c>
      <c r="N9" s="96" t="e">
        <f>L9-#REF!</f>
        <v>#REF!</v>
      </c>
      <c r="O9" s="27">
        <v>917</v>
      </c>
      <c r="P9" s="27">
        <v>847</v>
      </c>
      <c r="Q9" s="35">
        <v>20305</v>
      </c>
      <c r="R9" s="33" t="e">
        <f>Q9-#REF!</f>
        <v>#REF!</v>
      </c>
      <c r="S9" s="73">
        <v>2.02</v>
      </c>
      <c r="T9" s="13"/>
      <c r="U9" s="48"/>
      <c r="V9" s="28">
        <v>41784</v>
      </c>
      <c r="W9" s="35">
        <v>20662</v>
      </c>
    </row>
    <row r="10" spans="1:24">
      <c r="A10" s="39"/>
      <c r="B10" s="9" t="s">
        <v>2</v>
      </c>
      <c r="C10" s="10">
        <f t="shared" si="2"/>
        <v>2558</v>
      </c>
      <c r="D10" s="20">
        <f t="shared" si="3"/>
        <v>6.5136128907403827E-3</v>
      </c>
      <c r="E10" s="28">
        <v>2477</v>
      </c>
      <c r="F10" s="38">
        <f t="shared" ref="F10:F32" si="5">E10/$E$8</f>
        <v>6.4014431028779359E-3</v>
      </c>
      <c r="G10" s="33" t="e">
        <f>E10-#REF!</f>
        <v>#REF!</v>
      </c>
      <c r="H10" s="51">
        <v>1412</v>
      </c>
      <c r="I10" s="38">
        <f t="shared" ref="I10:I32" si="6">H10/$E$8</f>
        <v>3.649106847502481E-3</v>
      </c>
      <c r="J10" s="51">
        <v>1065</v>
      </c>
      <c r="K10" s="38">
        <f t="shared" ref="K10:K32" si="7">J10/$E$8</f>
        <v>2.7523362553754549E-3</v>
      </c>
      <c r="L10" s="28">
        <f t="shared" ref="L10:L32" si="8">SUM(O10:P10)</f>
        <v>81</v>
      </c>
      <c r="M10" s="11">
        <f t="shared" si="4"/>
        <v>1.4033264033264034E-2</v>
      </c>
      <c r="N10" s="96" t="e">
        <f>L10-#REF!</f>
        <v>#REF!</v>
      </c>
      <c r="O10" s="27">
        <v>50</v>
      </c>
      <c r="P10" s="27">
        <v>31</v>
      </c>
      <c r="Q10" s="35">
        <v>1487</v>
      </c>
      <c r="R10" s="33" t="e">
        <f>Q10-#REF!</f>
        <v>#REF!</v>
      </c>
      <c r="S10" s="73">
        <v>1.67</v>
      </c>
      <c r="T10" s="13"/>
      <c r="U10" s="48"/>
      <c r="V10" s="28">
        <v>2567</v>
      </c>
      <c r="W10" s="35">
        <v>1558</v>
      </c>
      <c r="X10" s="25"/>
    </row>
    <row r="11" spans="1:24">
      <c r="A11" s="39"/>
      <c r="B11" s="9" t="s">
        <v>3</v>
      </c>
      <c r="C11" s="10">
        <f t="shared" si="2"/>
        <v>3017</v>
      </c>
      <c r="D11" s="20">
        <f t="shared" si="3"/>
        <v>7.6823964391570495E-3</v>
      </c>
      <c r="E11" s="28">
        <v>2822</v>
      </c>
      <c r="F11" s="38">
        <f t="shared" si="5"/>
        <v>7.293044988422097E-3</v>
      </c>
      <c r="G11" s="33" t="e">
        <f>E11-#REF!</f>
        <v>#REF!</v>
      </c>
      <c r="H11" s="51">
        <v>1477</v>
      </c>
      <c r="I11" s="38">
        <f t="shared" si="6"/>
        <v>3.817089811445584E-3</v>
      </c>
      <c r="J11" s="51">
        <v>1345</v>
      </c>
      <c r="K11" s="38">
        <f t="shared" si="7"/>
        <v>3.4759551769765135E-3</v>
      </c>
      <c r="L11" s="28">
        <f t="shared" si="8"/>
        <v>195</v>
      </c>
      <c r="M11" s="11">
        <f t="shared" si="4"/>
        <v>3.3783783783783786E-2</v>
      </c>
      <c r="N11" s="96" t="e">
        <f>L11-#REF!</f>
        <v>#REF!</v>
      </c>
      <c r="O11" s="27">
        <v>155</v>
      </c>
      <c r="P11" s="27">
        <v>40</v>
      </c>
      <c r="Q11" s="35">
        <v>1649</v>
      </c>
      <c r="R11" s="33" t="e">
        <f>Q11-#REF!</f>
        <v>#REF!</v>
      </c>
      <c r="S11" s="73">
        <v>1.71</v>
      </c>
      <c r="T11" s="13"/>
      <c r="U11" s="48"/>
      <c r="V11" s="28">
        <v>2905</v>
      </c>
      <c r="W11" s="35">
        <v>1681</v>
      </c>
    </row>
    <row r="12" spans="1:24">
      <c r="A12" s="39"/>
      <c r="B12" s="9" t="s">
        <v>4</v>
      </c>
      <c r="C12" s="10">
        <f t="shared" si="2"/>
        <v>5893</v>
      </c>
      <c r="D12" s="20">
        <f t="shared" si="3"/>
        <v>1.5005754794813555E-2</v>
      </c>
      <c r="E12" s="28">
        <v>5582</v>
      </c>
      <c r="F12" s="38">
        <f t="shared" si="5"/>
        <v>1.4425860072775389E-2</v>
      </c>
      <c r="G12" s="33" t="e">
        <f>E12-#REF!</f>
        <v>#REF!</v>
      </c>
      <c r="H12" s="51">
        <v>3075</v>
      </c>
      <c r="I12" s="38">
        <f t="shared" si="6"/>
        <v>7.9468863711544824E-3</v>
      </c>
      <c r="J12" s="51">
        <v>2507</v>
      </c>
      <c r="K12" s="38">
        <f t="shared" si="7"/>
        <v>6.4789737016209062E-3</v>
      </c>
      <c r="L12" s="28">
        <f t="shared" si="8"/>
        <v>311</v>
      </c>
      <c r="M12" s="11">
        <f t="shared" si="4"/>
        <v>5.3880803880803879E-2</v>
      </c>
      <c r="N12" s="96" t="e">
        <f>L12-#REF!</f>
        <v>#REF!</v>
      </c>
      <c r="O12" s="27">
        <v>257</v>
      </c>
      <c r="P12" s="27">
        <v>54</v>
      </c>
      <c r="Q12" s="35">
        <v>3124</v>
      </c>
      <c r="R12" s="33" t="e">
        <f>Q12-#REF!</f>
        <v>#REF!</v>
      </c>
      <c r="S12" s="73">
        <v>1.79</v>
      </c>
      <c r="T12" s="13"/>
      <c r="U12" s="48"/>
      <c r="V12" s="28">
        <v>5701</v>
      </c>
      <c r="W12" s="35">
        <v>3187</v>
      </c>
    </row>
    <row r="13" spans="1:24">
      <c r="A13" s="39"/>
      <c r="B13" s="9" t="s">
        <v>5</v>
      </c>
      <c r="C13" s="10">
        <f t="shared" si="2"/>
        <v>8683</v>
      </c>
      <c r="D13" s="20">
        <f t="shared" si="3"/>
        <v>2.2110125383228593E-2</v>
      </c>
      <c r="E13" s="28">
        <v>8391</v>
      </c>
      <c r="F13" s="38">
        <f t="shared" si="5"/>
        <v>2.1685308468408864E-2</v>
      </c>
      <c r="G13" s="33" t="e">
        <f>E13-#REF!</f>
        <v>#REF!</v>
      </c>
      <c r="H13" s="51">
        <v>4496</v>
      </c>
      <c r="I13" s="38">
        <f t="shared" si="6"/>
        <v>1.1619252398279854E-2</v>
      </c>
      <c r="J13" s="51">
        <v>3895</v>
      </c>
      <c r="K13" s="38">
        <f t="shared" si="7"/>
        <v>1.0066056070129011E-2</v>
      </c>
      <c r="L13" s="28">
        <f t="shared" si="8"/>
        <v>292</v>
      </c>
      <c r="M13" s="11">
        <f t="shared" si="4"/>
        <v>5.058905058905059E-2</v>
      </c>
      <c r="N13" s="96" t="e">
        <f>L13-#REF!</f>
        <v>#REF!</v>
      </c>
      <c r="O13" s="27">
        <v>195</v>
      </c>
      <c r="P13" s="27">
        <v>97</v>
      </c>
      <c r="Q13" s="35">
        <v>4765</v>
      </c>
      <c r="R13" s="33" t="e">
        <f>Q13-#REF!</f>
        <v>#REF!</v>
      </c>
      <c r="S13" s="73">
        <v>1.76</v>
      </c>
      <c r="T13" s="13"/>
      <c r="U13" s="48"/>
      <c r="V13" s="28">
        <v>8518</v>
      </c>
      <c r="W13" s="35">
        <v>4795</v>
      </c>
    </row>
    <row r="14" spans="1:24">
      <c r="A14" s="39"/>
      <c r="B14" s="9" t="s">
        <v>6</v>
      </c>
      <c r="C14" s="10">
        <f t="shared" si="2"/>
        <v>7039</v>
      </c>
      <c r="D14" s="20">
        <f t="shared" si="3"/>
        <v>1.7923894111775432E-2</v>
      </c>
      <c r="E14" s="28">
        <v>6580</v>
      </c>
      <c r="F14" s="38">
        <f t="shared" si="5"/>
        <v>1.7005044657624875E-2</v>
      </c>
      <c r="G14" s="33" t="e">
        <f>E14-#REF!</f>
        <v>#REF!</v>
      </c>
      <c r="H14" s="51">
        <v>3862</v>
      </c>
      <c r="I14" s="38">
        <f t="shared" si="6"/>
        <v>9.9807724115117437E-3</v>
      </c>
      <c r="J14" s="51">
        <v>2718</v>
      </c>
      <c r="K14" s="38">
        <f t="shared" si="7"/>
        <v>7.0242722461131323E-3</v>
      </c>
      <c r="L14" s="28">
        <f t="shared" si="8"/>
        <v>459</v>
      </c>
      <c r="M14" s="11">
        <f t="shared" si="4"/>
        <v>7.9521829521829526E-2</v>
      </c>
      <c r="N14" s="96" t="e">
        <f>L14-#REF!</f>
        <v>#REF!</v>
      </c>
      <c r="O14" s="27">
        <v>332</v>
      </c>
      <c r="P14" s="27">
        <v>127</v>
      </c>
      <c r="Q14" s="35">
        <v>4094</v>
      </c>
      <c r="R14" s="33" t="e">
        <f>Q14-#REF!</f>
        <v>#REF!</v>
      </c>
      <c r="S14" s="73">
        <v>1.61</v>
      </c>
      <c r="T14" s="13"/>
      <c r="U14" s="48"/>
      <c r="V14" s="28">
        <v>6785</v>
      </c>
      <c r="W14" s="35">
        <v>4218</v>
      </c>
    </row>
    <row r="15" spans="1:24">
      <c r="A15" s="39"/>
      <c r="B15" s="9" t="s">
        <v>7</v>
      </c>
      <c r="C15" s="10">
        <f t="shared" si="2"/>
        <v>7112</v>
      </c>
      <c r="D15" s="20">
        <f t="shared" si="3"/>
        <v>1.8109779076992023E-2</v>
      </c>
      <c r="E15" s="28">
        <v>6882</v>
      </c>
      <c r="F15" s="38">
        <f t="shared" si="5"/>
        <v>1.7785519351637448E-2</v>
      </c>
      <c r="G15" s="33" t="e">
        <f>E15-#REF!</f>
        <v>#REF!</v>
      </c>
      <c r="H15" s="51">
        <v>3771</v>
      </c>
      <c r="I15" s="38">
        <f t="shared" si="6"/>
        <v>9.7455962619913995E-3</v>
      </c>
      <c r="J15" s="51">
        <v>3111</v>
      </c>
      <c r="K15" s="38">
        <f t="shared" si="7"/>
        <v>8.0399230896460467E-3</v>
      </c>
      <c r="L15" s="28">
        <f t="shared" si="8"/>
        <v>230</v>
      </c>
      <c r="M15" s="11">
        <f t="shared" si="4"/>
        <v>3.9847539847539845E-2</v>
      </c>
      <c r="N15" s="96" t="e">
        <f>L15-#REF!</f>
        <v>#REF!</v>
      </c>
      <c r="O15" s="27">
        <v>175</v>
      </c>
      <c r="P15" s="27">
        <v>55</v>
      </c>
      <c r="Q15" s="35">
        <v>3721</v>
      </c>
      <c r="R15" s="33" t="e">
        <f>Q15-#REF!</f>
        <v>#REF!</v>
      </c>
      <c r="S15" s="73">
        <v>1.85</v>
      </c>
      <c r="T15" s="13"/>
      <c r="U15" s="48"/>
      <c r="V15" s="28">
        <v>7041</v>
      </c>
      <c r="W15" s="35">
        <v>3821</v>
      </c>
    </row>
    <row r="16" spans="1:24">
      <c r="A16" s="39"/>
      <c r="B16" s="9" t="s">
        <v>8</v>
      </c>
      <c r="C16" s="10">
        <f t="shared" si="2"/>
        <v>5792</v>
      </c>
      <c r="D16" s="20">
        <f t="shared" si="3"/>
        <v>1.4748571486774158E-2</v>
      </c>
      <c r="E16" s="28">
        <v>5264</v>
      </c>
      <c r="F16" s="38">
        <f t="shared" si="5"/>
        <v>1.3604035726099901E-2</v>
      </c>
      <c r="G16" s="33" t="e">
        <f>E16-#REF!</f>
        <v>#REF!</v>
      </c>
      <c r="H16" s="51">
        <v>2788</v>
      </c>
      <c r="I16" s="38">
        <f t="shared" si="6"/>
        <v>7.2051769765133977E-3</v>
      </c>
      <c r="J16" s="51">
        <v>2476</v>
      </c>
      <c r="K16" s="38">
        <f t="shared" si="7"/>
        <v>6.3988587495865034E-3</v>
      </c>
      <c r="L16" s="28">
        <f t="shared" si="8"/>
        <v>528</v>
      </c>
      <c r="M16" s="11">
        <f t="shared" si="4"/>
        <v>9.1476091476091481E-2</v>
      </c>
      <c r="N16" s="96" t="e">
        <f>L16-#REF!</f>
        <v>#REF!</v>
      </c>
      <c r="O16" s="27">
        <v>444</v>
      </c>
      <c r="P16" s="27">
        <v>84</v>
      </c>
      <c r="Q16" s="35">
        <v>2962</v>
      </c>
      <c r="R16" s="33" t="e">
        <f>Q16-#REF!</f>
        <v>#REF!</v>
      </c>
      <c r="S16" s="73">
        <v>1.78</v>
      </c>
      <c r="T16" s="13"/>
      <c r="U16" s="48"/>
      <c r="V16" s="28">
        <v>5397</v>
      </c>
      <c r="W16" s="35">
        <v>3039</v>
      </c>
    </row>
    <row r="17" spans="1:23">
      <c r="A17" s="39"/>
      <c r="B17" s="9" t="s">
        <v>9</v>
      </c>
      <c r="C17" s="10">
        <f t="shared" si="2"/>
        <v>3396</v>
      </c>
      <c r="D17" s="20">
        <f t="shared" si="3"/>
        <v>8.6474704366514225E-3</v>
      </c>
      <c r="E17" s="28">
        <v>3143</v>
      </c>
      <c r="F17" s="38">
        <f>E17/$E$8</f>
        <v>8.1226223949718828E-3</v>
      </c>
      <c r="G17" s="33" t="e">
        <f>E17-#REF!</f>
        <v>#REF!</v>
      </c>
      <c r="H17" s="51">
        <v>1684</v>
      </c>
      <c r="I17" s="38">
        <f t="shared" si="6"/>
        <v>4.3520509427720806E-3</v>
      </c>
      <c r="J17" s="51">
        <v>1459</v>
      </c>
      <c r="K17" s="38">
        <f t="shared" si="7"/>
        <v>3.7705714521998014E-3</v>
      </c>
      <c r="L17" s="28">
        <f t="shared" si="8"/>
        <v>253</v>
      </c>
      <c r="M17" s="11">
        <f t="shared" si="4"/>
        <v>4.3832293832293832E-2</v>
      </c>
      <c r="N17" s="96" t="e">
        <f>L17-#REF!</f>
        <v>#REF!</v>
      </c>
      <c r="O17" s="27">
        <v>211</v>
      </c>
      <c r="P17" s="27">
        <v>42</v>
      </c>
      <c r="Q17" s="35">
        <v>1867</v>
      </c>
      <c r="R17" s="33" t="e">
        <f>Q17-#REF!</f>
        <v>#REF!</v>
      </c>
      <c r="S17" s="73">
        <v>1.68</v>
      </c>
      <c r="T17" s="13"/>
      <c r="U17" s="48"/>
      <c r="V17" s="28">
        <v>3214</v>
      </c>
      <c r="W17" s="35">
        <v>1896</v>
      </c>
    </row>
    <row r="18" spans="1:23">
      <c r="A18" s="39"/>
      <c r="B18" s="9" t="s">
        <v>10</v>
      </c>
      <c r="C18" s="10">
        <f t="shared" si="2"/>
        <v>2418</v>
      </c>
      <c r="D18" s="20">
        <f t="shared" si="3"/>
        <v>6.1571211766263661E-3</v>
      </c>
      <c r="E18" s="28">
        <v>2129</v>
      </c>
      <c r="F18" s="38">
        <f t="shared" si="5"/>
        <v>5.5020881574594773E-3</v>
      </c>
      <c r="G18" s="33" t="e">
        <f>E18-#REF!</f>
        <v>#REF!</v>
      </c>
      <c r="H18" s="51">
        <v>1148</v>
      </c>
      <c r="I18" s="38">
        <f t="shared" si="6"/>
        <v>2.96683757856434E-3</v>
      </c>
      <c r="J18" s="51">
        <v>981</v>
      </c>
      <c r="K18" s="38">
        <f t="shared" si="7"/>
        <v>2.5352505788951373E-3</v>
      </c>
      <c r="L18" s="28">
        <f t="shared" si="8"/>
        <v>289</v>
      </c>
      <c r="M18" s="11">
        <f t="shared" si="4"/>
        <v>5.006930006930007E-2</v>
      </c>
      <c r="N18" s="96" t="e">
        <f>L18-#REF!</f>
        <v>#REF!</v>
      </c>
      <c r="O18" s="27">
        <v>257</v>
      </c>
      <c r="P18" s="27">
        <v>32</v>
      </c>
      <c r="Q18" s="35">
        <v>1124</v>
      </c>
      <c r="R18" s="33" t="e">
        <f>Q18-#REF!</f>
        <v>#REF!</v>
      </c>
      <c r="S18" s="73">
        <v>1.89</v>
      </c>
      <c r="T18" s="13"/>
      <c r="U18" s="48"/>
      <c r="V18" s="28">
        <v>2187</v>
      </c>
      <c r="W18" s="35">
        <v>1146</v>
      </c>
    </row>
    <row r="19" spans="1:23">
      <c r="A19" s="39"/>
      <c r="B19" s="9" t="s">
        <v>27</v>
      </c>
      <c r="C19" s="10">
        <f t="shared" si="2"/>
        <v>18359</v>
      </c>
      <c r="D19" s="20">
        <f t="shared" si="3"/>
        <v>4.674879556728017E-2</v>
      </c>
      <c r="E19" s="28">
        <v>18297</v>
      </c>
      <c r="F19" s="38">
        <f t="shared" si="5"/>
        <v>4.7285912173337746E-2</v>
      </c>
      <c r="G19" s="33" t="e">
        <f>E19-#REF!</f>
        <v>#REF!</v>
      </c>
      <c r="H19" s="51">
        <v>9042</v>
      </c>
      <c r="I19" s="38">
        <f t="shared" si="6"/>
        <v>2.3367722461131328E-2</v>
      </c>
      <c r="J19" s="51">
        <v>9255</v>
      </c>
      <c r="K19" s="38">
        <f t="shared" si="7"/>
        <v>2.3918189712206418E-2</v>
      </c>
      <c r="L19" s="28">
        <f t="shared" si="8"/>
        <v>62</v>
      </c>
      <c r="M19" s="11">
        <f t="shared" si="4"/>
        <v>1.0741510741510741E-2</v>
      </c>
      <c r="N19" s="96" t="e">
        <f>L19-#REF!</f>
        <v>#REF!</v>
      </c>
      <c r="O19" s="27">
        <v>25</v>
      </c>
      <c r="P19" s="27">
        <v>37</v>
      </c>
      <c r="Q19" s="35">
        <v>6349</v>
      </c>
      <c r="R19" s="33" t="e">
        <f>Q19-#REF!</f>
        <v>#REF!</v>
      </c>
      <c r="S19" s="73">
        <v>2.88</v>
      </c>
      <c r="T19" s="14"/>
      <c r="U19" s="48"/>
      <c r="V19" s="28">
        <v>18422</v>
      </c>
      <c r="W19" s="35">
        <v>6404</v>
      </c>
    </row>
    <row r="20" spans="1:23">
      <c r="A20" s="39"/>
      <c r="B20" s="9" t="s">
        <v>34</v>
      </c>
      <c r="C20" s="10">
        <f t="shared" si="2"/>
        <v>26683</v>
      </c>
      <c r="D20" s="20">
        <f t="shared" si="3"/>
        <v>6.7944774340744959E-2</v>
      </c>
      <c r="E20" s="28">
        <v>26615</v>
      </c>
      <c r="F20" s="38">
        <f t="shared" si="5"/>
        <v>6.8782562851472051E-2</v>
      </c>
      <c r="G20" s="33" t="e">
        <f>E20-#REF!</f>
        <v>#REF!</v>
      </c>
      <c r="H20" s="51">
        <v>12853</v>
      </c>
      <c r="I20" s="38">
        <f t="shared" si="6"/>
        <v>3.3216692854780017E-2</v>
      </c>
      <c r="J20" s="51">
        <v>13762</v>
      </c>
      <c r="K20" s="38">
        <f t="shared" si="7"/>
        <v>3.5565869996692027E-2</v>
      </c>
      <c r="L20" s="28">
        <f t="shared" si="8"/>
        <v>68</v>
      </c>
      <c r="M20" s="11">
        <f t="shared" si="4"/>
        <v>1.1781011781011781E-2</v>
      </c>
      <c r="N20" s="96" t="e">
        <f>L20-#REF!</f>
        <v>#REF!</v>
      </c>
      <c r="O20" s="27">
        <v>19</v>
      </c>
      <c r="P20" s="27">
        <v>49</v>
      </c>
      <c r="Q20" s="35">
        <v>9740</v>
      </c>
      <c r="R20" s="33" t="e">
        <f>Q20-#REF!</f>
        <v>#REF!</v>
      </c>
      <c r="S20" s="73">
        <v>2.73</v>
      </c>
      <c r="T20" s="14"/>
      <c r="U20" s="48"/>
      <c r="V20" s="28">
        <v>26600</v>
      </c>
      <c r="W20" s="35">
        <v>9752</v>
      </c>
    </row>
    <row r="21" spans="1:23">
      <c r="A21" s="39"/>
      <c r="B21" s="21" t="s">
        <v>40</v>
      </c>
      <c r="C21" s="10">
        <f t="shared" si="2"/>
        <v>13267</v>
      </c>
      <c r="D21" s="20">
        <f t="shared" si="3"/>
        <v>3.3782682651076097E-2</v>
      </c>
      <c r="E21" s="29">
        <v>13119</v>
      </c>
      <c r="F21" s="38">
        <f t="shared" si="5"/>
        <v>3.3904130830301027E-2</v>
      </c>
      <c r="G21" s="33" t="e">
        <f>E21-#REF!</f>
        <v>#REF!</v>
      </c>
      <c r="H21" s="51">
        <v>6435</v>
      </c>
      <c r="I21" s="38">
        <f t="shared" si="6"/>
        <v>1.6630313430367184E-2</v>
      </c>
      <c r="J21" s="51">
        <v>6684</v>
      </c>
      <c r="K21" s="38">
        <f t="shared" si="7"/>
        <v>1.727381739993384E-2</v>
      </c>
      <c r="L21" s="28">
        <f t="shared" si="8"/>
        <v>148</v>
      </c>
      <c r="M21" s="11">
        <f t="shared" si="4"/>
        <v>2.564102564102564E-2</v>
      </c>
      <c r="N21" s="96" t="e">
        <f>L21-#REF!</f>
        <v>#REF!</v>
      </c>
      <c r="O21" s="27">
        <v>64</v>
      </c>
      <c r="P21" s="27">
        <v>84</v>
      </c>
      <c r="Q21" s="36">
        <v>5887</v>
      </c>
      <c r="R21" s="33" t="e">
        <f>Q21-#REF!</f>
        <v>#REF!</v>
      </c>
      <c r="S21" s="74">
        <v>2.23</v>
      </c>
      <c r="T21" s="22"/>
      <c r="U21" s="48"/>
      <c r="V21" s="29">
        <v>13375</v>
      </c>
      <c r="W21" s="36">
        <v>6073</v>
      </c>
    </row>
    <row r="22" spans="1:23">
      <c r="A22" s="39"/>
      <c r="B22" s="21" t="s">
        <v>41</v>
      </c>
      <c r="C22" s="10">
        <f>E22+L22</f>
        <v>25363</v>
      </c>
      <c r="D22" s="20">
        <f t="shared" si="3"/>
        <v>6.4583566750527094E-2</v>
      </c>
      <c r="E22" s="29">
        <v>25213</v>
      </c>
      <c r="F22" s="38">
        <f t="shared" si="5"/>
        <v>6.5159299536883888E-2</v>
      </c>
      <c r="G22" s="33" t="e">
        <f>E22-#REF!</f>
        <v>#REF!</v>
      </c>
      <c r="H22" s="51">
        <v>12088</v>
      </c>
      <c r="I22" s="38">
        <f t="shared" si="6"/>
        <v>3.123966258683427E-2</v>
      </c>
      <c r="J22" s="51">
        <v>13125</v>
      </c>
      <c r="K22" s="38">
        <f t="shared" si="7"/>
        <v>3.3919636950049618E-2</v>
      </c>
      <c r="L22" s="28">
        <f t="shared" si="8"/>
        <v>150</v>
      </c>
      <c r="M22" s="11">
        <f t="shared" si="4"/>
        <v>2.5987525987525989E-2</v>
      </c>
      <c r="N22" s="96" t="e">
        <f>L22-#REF!</f>
        <v>#REF!</v>
      </c>
      <c r="O22" s="27">
        <v>52</v>
      </c>
      <c r="P22" s="27">
        <v>98</v>
      </c>
      <c r="Q22" s="36">
        <v>10237</v>
      </c>
      <c r="R22" s="33" t="e">
        <f>Q22-#REF!</f>
        <v>#REF!</v>
      </c>
      <c r="S22" s="74">
        <v>2.46</v>
      </c>
      <c r="T22" s="22"/>
      <c r="U22" s="48"/>
      <c r="V22" s="29">
        <v>25473</v>
      </c>
      <c r="W22" s="36">
        <v>10280</v>
      </c>
    </row>
    <row r="23" spans="1:23">
      <c r="A23" s="39"/>
      <c r="B23" s="21" t="s">
        <v>42</v>
      </c>
      <c r="C23" s="10">
        <f t="shared" si="2"/>
        <v>11191</v>
      </c>
      <c r="D23" s="20">
        <f t="shared" si="3"/>
        <v>2.8496419804642542E-2</v>
      </c>
      <c r="E23" s="29">
        <v>11135</v>
      </c>
      <c r="F23" s="38">
        <f t="shared" si="5"/>
        <v>2.877677390009924E-2</v>
      </c>
      <c r="G23" s="33" t="e">
        <f>E23-#REF!</f>
        <v>#REF!</v>
      </c>
      <c r="H23" s="51">
        <v>5505</v>
      </c>
      <c r="I23" s="38">
        <f t="shared" si="6"/>
        <v>1.4226864869335097E-2</v>
      </c>
      <c r="J23" s="51">
        <v>5630</v>
      </c>
      <c r="K23" s="38">
        <f t="shared" si="7"/>
        <v>1.4549909030764141E-2</v>
      </c>
      <c r="L23" s="28">
        <f t="shared" si="8"/>
        <v>56</v>
      </c>
      <c r="M23" s="11">
        <f t="shared" si="4"/>
        <v>9.7020097020097014E-3</v>
      </c>
      <c r="N23" s="96" t="e">
        <f>L23-#REF!</f>
        <v>#REF!</v>
      </c>
      <c r="O23" s="27">
        <v>25</v>
      </c>
      <c r="P23" s="27">
        <v>31</v>
      </c>
      <c r="Q23" s="36">
        <v>5234</v>
      </c>
      <c r="R23" s="33" t="e">
        <f>Q23-#REF!</f>
        <v>#REF!</v>
      </c>
      <c r="S23" s="74">
        <v>2.13</v>
      </c>
      <c r="T23" s="22"/>
      <c r="U23" s="48"/>
      <c r="V23" s="29">
        <v>11235</v>
      </c>
      <c r="W23" s="36">
        <v>5323</v>
      </c>
    </row>
    <row r="24" spans="1:23">
      <c r="A24" s="39"/>
      <c r="B24" s="9" t="s">
        <v>43</v>
      </c>
      <c r="C24" s="10">
        <f t="shared" si="2"/>
        <v>11092</v>
      </c>
      <c r="D24" s="20">
        <f t="shared" si="3"/>
        <v>2.82443292353762E-2</v>
      </c>
      <c r="E24" s="28">
        <v>11005</v>
      </c>
      <c r="F24" s="38">
        <f t="shared" si="5"/>
        <v>2.8440807972213034E-2</v>
      </c>
      <c r="G24" s="33" t="e">
        <f>E24-#REF!</f>
        <v>#REF!</v>
      </c>
      <c r="H24" s="51">
        <v>5345</v>
      </c>
      <c r="I24" s="38">
        <f t="shared" si="6"/>
        <v>1.381336834270592E-2</v>
      </c>
      <c r="J24" s="51">
        <v>5660</v>
      </c>
      <c r="K24" s="38">
        <f t="shared" si="7"/>
        <v>1.4627439629507112E-2</v>
      </c>
      <c r="L24" s="28">
        <f t="shared" si="8"/>
        <v>87</v>
      </c>
      <c r="M24" s="11">
        <f t="shared" si="4"/>
        <v>1.5072765072765074E-2</v>
      </c>
      <c r="N24" s="96" t="e">
        <f>L24-#REF!</f>
        <v>#REF!</v>
      </c>
      <c r="O24" s="27">
        <v>59</v>
      </c>
      <c r="P24" s="27">
        <v>28</v>
      </c>
      <c r="Q24" s="35">
        <v>4175</v>
      </c>
      <c r="R24" s="33" t="e">
        <f>Q24-#REF!</f>
        <v>#REF!</v>
      </c>
      <c r="S24" s="73">
        <v>2.64</v>
      </c>
      <c r="T24" s="14"/>
      <c r="U24" s="48"/>
      <c r="V24" s="28">
        <v>8925</v>
      </c>
      <c r="W24" s="35">
        <v>3139</v>
      </c>
    </row>
    <row r="25" spans="1:23">
      <c r="A25" s="39"/>
      <c r="B25" s="18" t="s">
        <v>28</v>
      </c>
      <c r="C25" s="10">
        <f t="shared" si="2"/>
        <v>23626</v>
      </c>
      <c r="D25" s="20">
        <f t="shared" si="3"/>
        <v>6.0160523126126769E-2</v>
      </c>
      <c r="E25" s="30">
        <v>23566</v>
      </c>
      <c r="F25" s="38">
        <f t="shared" si="5"/>
        <v>6.090286966589481E-2</v>
      </c>
      <c r="G25" s="33" t="e">
        <f>E25-#REF!</f>
        <v>#REF!</v>
      </c>
      <c r="H25" s="51">
        <v>11646</v>
      </c>
      <c r="I25" s="38">
        <f t="shared" si="6"/>
        <v>3.009737843202117E-2</v>
      </c>
      <c r="J25" s="51">
        <v>11920</v>
      </c>
      <c r="K25" s="38">
        <f t="shared" si="7"/>
        <v>3.0805491233873637E-2</v>
      </c>
      <c r="L25" s="28">
        <f t="shared" si="8"/>
        <v>60</v>
      </c>
      <c r="M25" s="11">
        <f t="shared" si="4"/>
        <v>1.0395010395010396E-2</v>
      </c>
      <c r="N25" s="96" t="e">
        <f>L25-#REF!</f>
        <v>#REF!</v>
      </c>
      <c r="O25" s="27">
        <v>22</v>
      </c>
      <c r="P25" s="27">
        <v>38</v>
      </c>
      <c r="Q25" s="37">
        <v>7945</v>
      </c>
      <c r="R25" s="33" t="e">
        <f>Q25-#REF!</f>
        <v>#REF!</v>
      </c>
      <c r="S25" s="75">
        <v>2.97</v>
      </c>
      <c r="T25" s="23"/>
      <c r="U25" s="48"/>
      <c r="V25" s="30">
        <v>23623</v>
      </c>
      <c r="W25" s="37">
        <v>7957</v>
      </c>
    </row>
    <row r="26" spans="1:23">
      <c r="A26" s="76"/>
      <c r="B26" s="9" t="s">
        <v>29</v>
      </c>
      <c r="C26" s="10">
        <f t="shared" si="2"/>
        <v>28321</v>
      </c>
      <c r="D26" s="20">
        <f t="shared" si="3"/>
        <v>7.2115727395878959E-2</v>
      </c>
      <c r="E26" s="28">
        <v>28197</v>
      </c>
      <c r="F26" s="38">
        <f t="shared" si="5"/>
        <v>7.2871009758518027E-2</v>
      </c>
      <c r="G26" s="33" t="e">
        <f>E26-#REF!</f>
        <v>#REF!</v>
      </c>
      <c r="H26" s="51">
        <v>13719</v>
      </c>
      <c r="I26" s="38">
        <f t="shared" si="6"/>
        <v>3.5454742805160436E-2</v>
      </c>
      <c r="J26" s="51">
        <v>14478</v>
      </c>
      <c r="K26" s="38">
        <f t="shared" si="7"/>
        <v>3.7416266953357591E-2</v>
      </c>
      <c r="L26" s="28">
        <f t="shared" si="8"/>
        <v>124</v>
      </c>
      <c r="M26" s="11">
        <f t="shared" si="4"/>
        <v>2.1483021483021482E-2</v>
      </c>
      <c r="N26" s="96" t="e">
        <f>L26-#REF!</f>
        <v>#REF!</v>
      </c>
      <c r="O26" s="27">
        <v>34</v>
      </c>
      <c r="P26" s="27">
        <v>90</v>
      </c>
      <c r="Q26" s="35">
        <v>10808</v>
      </c>
      <c r="R26" s="33" t="e">
        <f>Q26-#REF!</f>
        <v>#REF!</v>
      </c>
      <c r="S26" s="73">
        <v>2.61</v>
      </c>
      <c r="T26" s="12"/>
      <c r="U26" s="48"/>
      <c r="V26" s="28">
        <v>28470</v>
      </c>
      <c r="W26" s="35">
        <v>10826</v>
      </c>
    </row>
    <row r="27" spans="1:23">
      <c r="A27" s="77"/>
      <c r="B27" s="9" t="s">
        <v>30</v>
      </c>
      <c r="C27" s="10">
        <f t="shared" si="2"/>
        <v>36331</v>
      </c>
      <c r="D27" s="20">
        <f t="shared" si="3"/>
        <v>9.2512146181973745E-2</v>
      </c>
      <c r="E27" s="28">
        <v>36205</v>
      </c>
      <c r="F27" s="38">
        <f t="shared" si="5"/>
        <v>9.3566510916308299E-2</v>
      </c>
      <c r="G27" s="33" t="e">
        <f>E27-#REF!</f>
        <v>#REF!</v>
      </c>
      <c r="H27" s="51">
        <v>17778</v>
      </c>
      <c r="I27" s="38">
        <f t="shared" si="6"/>
        <v>4.5944632815084353E-2</v>
      </c>
      <c r="J27" s="51">
        <v>18427</v>
      </c>
      <c r="K27" s="38">
        <f t="shared" si="7"/>
        <v>4.7621878101223952E-2</v>
      </c>
      <c r="L27" s="28">
        <f t="shared" si="8"/>
        <v>126</v>
      </c>
      <c r="M27" s="11">
        <f t="shared" si="4"/>
        <v>2.1829521829521831E-2</v>
      </c>
      <c r="N27" s="96" t="e">
        <f>L27-#REF!</f>
        <v>#REF!</v>
      </c>
      <c r="O27" s="27">
        <v>42</v>
      </c>
      <c r="P27" s="27">
        <v>84</v>
      </c>
      <c r="Q27" s="35">
        <v>12801</v>
      </c>
      <c r="R27" s="33" t="e">
        <f>Q27-#REF!</f>
        <v>#REF!</v>
      </c>
      <c r="S27" s="73">
        <v>2.83</v>
      </c>
      <c r="T27" s="15"/>
      <c r="U27" s="48"/>
      <c r="V27" s="28">
        <v>35257</v>
      </c>
      <c r="W27" s="35">
        <v>12436</v>
      </c>
    </row>
    <row r="28" spans="1:23">
      <c r="A28" s="77"/>
      <c r="B28" s="9" t="s">
        <v>31</v>
      </c>
      <c r="C28" s="10">
        <f t="shared" si="2"/>
        <v>22043</v>
      </c>
      <c r="D28" s="20">
        <f t="shared" si="3"/>
        <v>5.6129620387251854E-2</v>
      </c>
      <c r="E28" s="28">
        <v>21932</v>
      </c>
      <c r="F28" s="38">
        <f t="shared" si="5"/>
        <v>5.6680036387694345E-2</v>
      </c>
      <c r="G28" s="33" t="e">
        <f>E28-#REF!</f>
        <v>#REF!</v>
      </c>
      <c r="H28" s="51">
        <v>10667</v>
      </c>
      <c r="I28" s="38">
        <f t="shared" si="6"/>
        <v>2.7567296559708899E-2</v>
      </c>
      <c r="J28" s="51">
        <v>11265</v>
      </c>
      <c r="K28" s="38">
        <f t="shared" si="7"/>
        <v>2.9112739827985446E-2</v>
      </c>
      <c r="L28" s="28">
        <f t="shared" si="8"/>
        <v>111</v>
      </c>
      <c r="M28" s="11">
        <f t="shared" si="4"/>
        <v>1.9230769230769232E-2</v>
      </c>
      <c r="N28" s="96" t="e">
        <f>L28-#REF!</f>
        <v>#REF!</v>
      </c>
      <c r="O28" s="27">
        <v>36</v>
      </c>
      <c r="P28" s="27">
        <v>75</v>
      </c>
      <c r="Q28" s="35">
        <v>8436</v>
      </c>
      <c r="R28" s="33" t="e">
        <f>Q28-#REF!</f>
        <v>#REF!</v>
      </c>
      <c r="S28" s="73">
        <v>2.6</v>
      </c>
      <c r="T28" s="15"/>
      <c r="U28" s="48"/>
      <c r="V28" s="28">
        <v>21830</v>
      </c>
      <c r="W28" s="35">
        <v>8390</v>
      </c>
    </row>
    <row r="29" spans="1:23">
      <c r="A29" s="77"/>
      <c r="B29" s="9" t="s">
        <v>44</v>
      </c>
      <c r="C29" s="10">
        <f t="shared" si="2"/>
        <v>28758</v>
      </c>
      <c r="D29" s="20">
        <f>C29/$C$8</f>
        <v>7.3228490817791994E-2</v>
      </c>
      <c r="E29" s="28">
        <v>28552</v>
      </c>
      <c r="F29" s="38">
        <f t="shared" si="5"/>
        <v>7.378845517697652E-2</v>
      </c>
      <c r="G29" s="33" t="e">
        <f>E29-#REF!</f>
        <v>#REF!</v>
      </c>
      <c r="H29" s="51">
        <v>13996</v>
      </c>
      <c r="I29" s="38">
        <f t="shared" si="6"/>
        <v>3.6170608666887198E-2</v>
      </c>
      <c r="J29" s="51">
        <v>14556</v>
      </c>
      <c r="K29" s="38">
        <f t="shared" si="7"/>
        <v>3.7617846510089314E-2</v>
      </c>
      <c r="L29" s="28">
        <f t="shared" si="8"/>
        <v>206</v>
      </c>
      <c r="M29" s="11">
        <f t="shared" si="4"/>
        <v>3.5689535689535687E-2</v>
      </c>
      <c r="N29" s="96" t="e">
        <f>L29-#REF!</f>
        <v>#REF!</v>
      </c>
      <c r="O29" s="27">
        <v>98</v>
      </c>
      <c r="P29" s="27">
        <v>108</v>
      </c>
      <c r="Q29" s="35">
        <v>12062</v>
      </c>
      <c r="R29" s="33" t="e">
        <f>Q29-#REF!</f>
        <v>#REF!</v>
      </c>
      <c r="S29" s="73">
        <v>2.37</v>
      </c>
      <c r="T29" s="15"/>
      <c r="U29" s="48"/>
      <c r="V29" s="28">
        <v>28108</v>
      </c>
      <c r="W29" s="35">
        <v>11868</v>
      </c>
    </row>
    <row r="30" spans="1:23">
      <c r="A30" s="77"/>
      <c r="B30" s="9" t="s">
        <v>32</v>
      </c>
      <c r="C30" s="10">
        <f t="shared" si="2"/>
        <v>19034</v>
      </c>
      <c r="D30" s="20">
        <f t="shared" si="3"/>
        <v>4.8467594903187035E-2</v>
      </c>
      <c r="E30" s="28">
        <v>18976</v>
      </c>
      <c r="F30" s="38">
        <f t="shared" si="5"/>
        <v>4.9040688058220309E-2</v>
      </c>
      <c r="G30" s="33" t="e">
        <f>E30-#REF!</f>
        <v>#REF!</v>
      </c>
      <c r="H30" s="51">
        <v>9321</v>
      </c>
      <c r="I30" s="38">
        <f t="shared" si="6"/>
        <v>2.4088757029440952E-2</v>
      </c>
      <c r="J30" s="51">
        <v>9655</v>
      </c>
      <c r="K30" s="38">
        <f t="shared" si="7"/>
        <v>2.4951931028779357E-2</v>
      </c>
      <c r="L30" s="28">
        <f t="shared" si="8"/>
        <v>58</v>
      </c>
      <c r="M30" s="11">
        <f t="shared" si="4"/>
        <v>1.0048510048510048E-2</v>
      </c>
      <c r="N30" s="96" t="e">
        <f>L30-#REF!</f>
        <v>#REF!</v>
      </c>
      <c r="O30" s="27">
        <v>20</v>
      </c>
      <c r="P30" s="27">
        <v>38</v>
      </c>
      <c r="Q30" s="35">
        <v>6964</v>
      </c>
      <c r="R30" s="33" t="e">
        <f>Q30-#REF!</f>
        <v>#REF!</v>
      </c>
      <c r="S30" s="73">
        <v>2.72</v>
      </c>
      <c r="T30" s="15"/>
      <c r="U30" s="48"/>
      <c r="V30" s="28">
        <v>18980</v>
      </c>
      <c r="W30" s="35">
        <v>6924</v>
      </c>
    </row>
    <row r="31" spans="1:23">
      <c r="A31" s="77"/>
      <c r="B31" s="16" t="s">
        <v>45</v>
      </c>
      <c r="C31" s="10">
        <f t="shared" si="2"/>
        <v>11351</v>
      </c>
      <c r="D31" s="20">
        <f t="shared" si="3"/>
        <v>2.890383890648713E-2</v>
      </c>
      <c r="E31" s="28">
        <v>11316</v>
      </c>
      <c r="F31" s="38">
        <f t="shared" si="5"/>
        <v>2.9244541845848494E-2</v>
      </c>
      <c r="G31" s="33" t="e">
        <f>E31-#REF!</f>
        <v>#REF!</v>
      </c>
      <c r="H31" s="51">
        <v>5584</v>
      </c>
      <c r="I31" s="38">
        <f t="shared" si="6"/>
        <v>1.4431028779358254E-2</v>
      </c>
      <c r="J31" s="51">
        <v>5732</v>
      </c>
      <c r="K31" s="38">
        <f t="shared" si="7"/>
        <v>1.4813513066490241E-2</v>
      </c>
      <c r="L31" s="28">
        <f t="shared" si="8"/>
        <v>35</v>
      </c>
      <c r="M31" s="11">
        <f t="shared" si="4"/>
        <v>6.0637560637560638E-3</v>
      </c>
      <c r="N31" s="96" t="e">
        <f>L31-#REF!</f>
        <v>#REF!</v>
      </c>
      <c r="O31" s="27">
        <v>10</v>
      </c>
      <c r="P31" s="27">
        <v>25</v>
      </c>
      <c r="Q31" s="35">
        <v>4389</v>
      </c>
      <c r="R31" s="33" t="e">
        <f>Q31-#REF!</f>
        <v>#REF!</v>
      </c>
      <c r="S31" s="73">
        <v>2.58</v>
      </c>
      <c r="T31" s="12"/>
      <c r="U31" s="48"/>
      <c r="V31" s="28">
        <v>11256</v>
      </c>
      <c r="W31" s="35">
        <v>4368</v>
      </c>
    </row>
    <row r="32" spans="1:23">
      <c r="A32" s="78"/>
      <c r="B32" s="16" t="s">
        <v>46</v>
      </c>
      <c r="C32" s="10">
        <f t="shared" si="2"/>
        <v>28663</v>
      </c>
      <c r="D32" s="20">
        <f t="shared" si="3"/>
        <v>7.2986585726071765E-2</v>
      </c>
      <c r="E32" s="28">
        <v>28584</v>
      </c>
      <c r="F32" s="38">
        <f t="shared" si="5"/>
        <v>7.3871154482302345E-2</v>
      </c>
      <c r="G32" s="33" t="e">
        <f>E32-#REF!</f>
        <v>#REF!</v>
      </c>
      <c r="H32" s="51">
        <v>13714</v>
      </c>
      <c r="I32" s="38">
        <f t="shared" si="6"/>
        <v>3.5441821038703275E-2</v>
      </c>
      <c r="J32" s="51">
        <v>14870</v>
      </c>
      <c r="K32" s="38">
        <f t="shared" si="7"/>
        <v>3.8429333443599077E-2</v>
      </c>
      <c r="L32" s="28">
        <f t="shared" si="8"/>
        <v>79</v>
      </c>
      <c r="M32" s="11">
        <f t="shared" si="4"/>
        <v>1.3686763686763687E-2</v>
      </c>
      <c r="N32" s="96" t="e">
        <f>L32-#REF!</f>
        <v>#REF!</v>
      </c>
      <c r="O32" s="27">
        <v>29</v>
      </c>
      <c r="P32" s="27">
        <v>50</v>
      </c>
      <c r="Q32" s="35">
        <v>10817</v>
      </c>
      <c r="R32" s="33" t="e">
        <f>Q32-#REF!</f>
        <v>#REF!</v>
      </c>
      <c r="S32" s="73">
        <v>2.64</v>
      </c>
      <c r="T32" s="12"/>
      <c r="U32" s="48"/>
      <c r="V32" s="28">
        <v>28539</v>
      </c>
      <c r="W32" s="35">
        <v>10819</v>
      </c>
    </row>
    <row r="33" spans="1:21">
      <c r="A33" s="79"/>
      <c r="B33" s="80"/>
      <c r="C33" s="41"/>
      <c r="D33" s="41"/>
      <c r="E33" s="81"/>
      <c r="F33" s="81"/>
      <c r="G33" s="82"/>
      <c r="H33" s="81"/>
      <c r="I33" s="83"/>
      <c r="J33" s="81"/>
      <c r="K33" s="83"/>
      <c r="L33" s="47"/>
      <c r="N33" s="48"/>
      <c r="Q33" s="84"/>
      <c r="R33" s="85"/>
      <c r="S33" s="86"/>
      <c r="T33" s="87"/>
      <c r="U33" s="48"/>
    </row>
    <row r="34" spans="1:21">
      <c r="A34" s="39"/>
      <c r="B34" s="40" t="s">
        <v>47</v>
      </c>
      <c r="E34" s="41"/>
      <c r="F34" s="41"/>
      <c r="G34" s="41"/>
      <c r="H34" s="42"/>
      <c r="I34" s="43"/>
      <c r="J34" s="44"/>
      <c r="K34" s="44"/>
      <c r="Q34" s="45"/>
      <c r="R34" s="46"/>
      <c r="S34" s="47"/>
      <c r="U34" s="48"/>
    </row>
    <row r="35" spans="1:21">
      <c r="A35" s="39"/>
      <c r="B35" s="88"/>
      <c r="E35" s="41"/>
      <c r="F35" s="41"/>
      <c r="G35" s="41"/>
      <c r="H35" s="42"/>
      <c r="I35" s="43"/>
      <c r="J35" s="44"/>
      <c r="K35" s="44"/>
      <c r="Q35" s="45"/>
      <c r="R35" s="46"/>
      <c r="S35" s="47"/>
      <c r="U35" s="48"/>
    </row>
  </sheetData>
  <mergeCells count="12">
    <mergeCell ref="Q6:Q7"/>
    <mergeCell ref="R6:R7"/>
    <mergeCell ref="B2:T2"/>
    <mergeCell ref="B5:B7"/>
    <mergeCell ref="E5:K5"/>
    <mergeCell ref="Q5:R5"/>
    <mergeCell ref="S5:S7"/>
    <mergeCell ref="T5:T7"/>
    <mergeCell ref="E6:K6"/>
    <mergeCell ref="L6:P6"/>
    <mergeCell ref="C6:C7"/>
    <mergeCell ref="D6:D7"/>
  </mergeCells>
  <phoneticPr fontId="2" type="noConversion"/>
  <pageMargins left="0.7" right="0.7" top="0.75" bottom="0.75" header="0.3" footer="0.3"/>
  <pageSetup paperSize="9" orientation="portrait" r:id="rId1"/>
  <ignoredErrors>
    <ignoredError sqref="L8 N8" formula="1"/>
    <ignoredError sqref="L9:L32" formula="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8A84-2E7D-4B17-A810-333C3F60C448}">
  <sheetPr>
    <tabColor theme="7"/>
    <pageSetUpPr fitToPage="1"/>
  </sheetPr>
  <dimension ref="A1:X34"/>
  <sheetViews>
    <sheetView topLeftCell="A2" zoomScale="115" zoomScaleNormal="115" workbookViewId="0">
      <selection activeCell="B5" sqref="B5:P16"/>
    </sheetView>
  </sheetViews>
  <sheetFormatPr defaultRowHeight="16.5"/>
  <cols>
    <col min="1" max="1" width="1.25" customWidth="1"/>
    <col min="6" max="6" width="10" customWidth="1"/>
    <col min="13" max="13" width="9.875" customWidth="1"/>
    <col min="21" max="21" width="23.75" customWidth="1"/>
    <col min="22" max="23" width="9.625" hidden="1" customWidth="1"/>
  </cols>
  <sheetData>
    <row r="1" spans="1:24">
      <c r="A1" s="39"/>
      <c r="B1" s="52"/>
      <c r="C1" s="1"/>
      <c r="D1" s="1"/>
      <c r="E1" s="53"/>
      <c r="F1" s="53"/>
      <c r="G1" s="53"/>
      <c r="H1" s="53"/>
      <c r="I1" s="53"/>
      <c r="J1" s="53"/>
      <c r="K1" s="53"/>
      <c r="L1" s="2"/>
      <c r="M1" s="2"/>
      <c r="N1" s="2"/>
      <c r="O1" s="2"/>
      <c r="P1" s="2"/>
      <c r="Q1" s="53"/>
      <c r="R1" s="54"/>
      <c r="S1" s="55"/>
      <c r="T1" s="53"/>
      <c r="U1" s="48"/>
    </row>
    <row r="2" spans="1:24" ht="31.5">
      <c r="A2" s="56"/>
      <c r="B2" s="149" t="s">
        <v>51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48"/>
    </row>
    <row r="3" spans="1:24" ht="26.25">
      <c r="A3" s="56"/>
      <c r="B3" s="57"/>
      <c r="C3" s="3"/>
      <c r="D3" s="3"/>
      <c r="E3" s="58"/>
      <c r="F3" s="58"/>
      <c r="G3" s="58"/>
      <c r="H3" s="58"/>
      <c r="I3" s="58"/>
      <c r="J3" s="58"/>
      <c r="K3" s="58"/>
      <c r="L3" s="4"/>
      <c r="M3" s="4"/>
      <c r="O3" s="26"/>
      <c r="P3" s="26"/>
      <c r="Q3" s="58"/>
      <c r="R3" s="59"/>
      <c r="S3" s="60"/>
      <c r="T3" s="58"/>
      <c r="U3" s="48"/>
    </row>
    <row r="4" spans="1:24" ht="17.25">
      <c r="A4" s="39"/>
      <c r="B4" s="61" t="s">
        <v>52</v>
      </c>
      <c r="C4" s="5"/>
      <c r="D4" s="5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64"/>
      <c r="S4" s="65"/>
      <c r="T4" s="66" t="s">
        <v>11</v>
      </c>
      <c r="U4" s="48"/>
    </row>
    <row r="5" spans="1:24">
      <c r="A5" s="39"/>
      <c r="B5" s="170" t="s">
        <v>12</v>
      </c>
      <c r="C5" s="95"/>
      <c r="D5" s="95"/>
      <c r="E5" s="166"/>
      <c r="F5" s="166"/>
      <c r="G5" s="166"/>
      <c r="H5" s="166"/>
      <c r="I5" s="166"/>
      <c r="J5" s="166"/>
      <c r="K5" s="166"/>
      <c r="L5" s="94"/>
      <c r="M5" s="94"/>
      <c r="N5" s="94"/>
      <c r="O5" s="94"/>
      <c r="P5" s="94"/>
      <c r="Q5" s="168" t="s">
        <v>13</v>
      </c>
      <c r="R5" s="166"/>
      <c r="S5" s="173" t="s">
        <v>37</v>
      </c>
      <c r="T5" s="170" t="s">
        <v>48</v>
      </c>
      <c r="U5" s="48"/>
    </row>
    <row r="6" spans="1:24">
      <c r="A6" s="39"/>
      <c r="B6" s="171"/>
      <c r="C6" s="161" t="s">
        <v>33</v>
      </c>
      <c r="D6" s="163" t="s">
        <v>14</v>
      </c>
      <c r="E6" s="165" t="s">
        <v>15</v>
      </c>
      <c r="F6" s="166"/>
      <c r="G6" s="166"/>
      <c r="H6" s="166"/>
      <c r="I6" s="166"/>
      <c r="J6" s="166"/>
      <c r="K6" s="167"/>
      <c r="L6" s="165" t="s">
        <v>0</v>
      </c>
      <c r="M6" s="169"/>
      <c r="N6" s="169"/>
      <c r="O6" s="169"/>
      <c r="P6" s="169"/>
      <c r="Q6" s="145" t="s">
        <v>16</v>
      </c>
      <c r="R6" s="147" t="s">
        <v>17</v>
      </c>
      <c r="S6" s="156"/>
      <c r="T6" s="171"/>
      <c r="U6" s="48"/>
    </row>
    <row r="7" spans="1:24" ht="29.25" thickBot="1">
      <c r="A7" s="39"/>
      <c r="B7" s="172"/>
      <c r="C7" s="174"/>
      <c r="D7" s="175"/>
      <c r="E7" s="93" t="s">
        <v>18</v>
      </c>
      <c r="F7" s="67" t="s">
        <v>19</v>
      </c>
      <c r="G7" s="68" t="s">
        <v>17</v>
      </c>
      <c r="H7" s="69" t="s">
        <v>20</v>
      </c>
      <c r="I7" s="68" t="s">
        <v>50</v>
      </c>
      <c r="J7" s="69" t="s">
        <v>21</v>
      </c>
      <c r="K7" s="68" t="s">
        <v>49</v>
      </c>
      <c r="L7" s="7" t="s">
        <v>22</v>
      </c>
      <c r="M7" s="6" t="s">
        <v>23</v>
      </c>
      <c r="N7" s="6" t="s">
        <v>17</v>
      </c>
      <c r="O7" s="17" t="s">
        <v>24</v>
      </c>
      <c r="P7" s="7" t="s">
        <v>25</v>
      </c>
      <c r="Q7" s="146"/>
      <c r="R7" s="148"/>
      <c r="S7" s="157"/>
      <c r="T7" s="172"/>
      <c r="U7" s="48"/>
      <c r="V7" s="70" t="s">
        <v>38</v>
      </c>
      <c r="W7" s="70" t="s">
        <v>39</v>
      </c>
    </row>
    <row r="8" spans="1:24" ht="17.25" thickTop="1">
      <c r="A8" s="39"/>
      <c r="B8" s="71">
        <v>9</v>
      </c>
      <c r="C8" s="8">
        <v>391754</v>
      </c>
      <c r="D8" s="19">
        <v>1</v>
      </c>
      <c r="E8" s="49">
        <v>385932</v>
      </c>
      <c r="F8" s="19">
        <v>1</v>
      </c>
      <c r="G8" s="96">
        <v>-21</v>
      </c>
      <c r="H8" s="50">
        <v>192246</v>
      </c>
      <c r="I8" s="91">
        <v>0.49813438636858309</v>
      </c>
      <c r="J8" s="50">
        <v>193686</v>
      </c>
      <c r="K8" s="91">
        <v>0.50186561363141691</v>
      </c>
      <c r="L8" s="24">
        <v>5822</v>
      </c>
      <c r="M8" s="19">
        <v>0.99999999999999989</v>
      </c>
      <c r="N8" s="96">
        <v>264</v>
      </c>
      <c r="O8" s="31">
        <v>3552</v>
      </c>
      <c r="P8" s="31">
        <v>2270</v>
      </c>
      <c r="Q8" s="34">
        <v>160479</v>
      </c>
      <c r="R8" s="96">
        <v>40</v>
      </c>
      <c r="S8" s="89">
        <v>2.4</v>
      </c>
      <c r="T8" s="72"/>
      <c r="U8" s="92"/>
      <c r="V8" s="49">
        <v>386192</v>
      </c>
      <c r="W8" s="34">
        <v>160562</v>
      </c>
      <c r="X8" s="25"/>
    </row>
    <row r="9" spans="1:24">
      <c r="A9" s="39"/>
      <c r="B9" s="9">
        <v>8</v>
      </c>
      <c r="C9" s="10">
        <v>391511</v>
      </c>
      <c r="D9" s="20">
        <v>1</v>
      </c>
      <c r="E9" s="28">
        <v>385953</v>
      </c>
      <c r="F9" s="38">
        <v>1</v>
      </c>
      <c r="G9" s="96">
        <v>-239</v>
      </c>
      <c r="H9" s="51">
        <v>192271</v>
      </c>
      <c r="I9" s="38">
        <v>49.82</v>
      </c>
      <c r="J9" s="51">
        <v>193682</v>
      </c>
      <c r="K9" s="38">
        <v>50.18</v>
      </c>
      <c r="L9" s="28">
        <v>5558</v>
      </c>
      <c r="M9" s="11">
        <v>1</v>
      </c>
      <c r="N9" s="96">
        <v>4</v>
      </c>
      <c r="O9" s="27">
        <v>3377</v>
      </c>
      <c r="P9" s="27">
        <v>2181</v>
      </c>
      <c r="Q9" s="35">
        <v>160439</v>
      </c>
      <c r="R9" s="96">
        <v>-123</v>
      </c>
      <c r="S9" s="73">
        <v>2.41</v>
      </c>
      <c r="T9" s="13"/>
      <c r="U9" s="48"/>
      <c r="V9" s="28">
        <v>386192</v>
      </c>
      <c r="W9" s="35">
        <v>160562</v>
      </c>
    </row>
    <row r="10" spans="1:24">
      <c r="A10" s="39"/>
      <c r="B10" s="9">
        <v>7</v>
      </c>
      <c r="C10" s="10">
        <v>391746</v>
      </c>
      <c r="D10" s="20">
        <v>0.99999999999999989</v>
      </c>
      <c r="E10" s="28">
        <v>386192</v>
      </c>
      <c r="F10" s="38">
        <v>1</v>
      </c>
      <c r="G10" s="96">
        <v>66</v>
      </c>
      <c r="H10" s="51">
        <v>192449</v>
      </c>
      <c r="I10" s="38">
        <v>0.49832466752289017</v>
      </c>
      <c r="J10" s="51">
        <v>193743</v>
      </c>
      <c r="K10" s="38">
        <v>0.50167533247710983</v>
      </c>
      <c r="L10" s="28">
        <v>5554</v>
      </c>
      <c r="M10" s="11">
        <v>1</v>
      </c>
      <c r="N10" s="96">
        <v>68</v>
      </c>
      <c r="O10" s="27">
        <v>3374</v>
      </c>
      <c r="P10" s="27">
        <v>2180</v>
      </c>
      <c r="Q10" s="35">
        <v>160562</v>
      </c>
      <c r="R10" s="96">
        <v>-53</v>
      </c>
      <c r="S10" s="73">
        <v>2.4</v>
      </c>
      <c r="T10" s="13"/>
      <c r="U10" s="48"/>
      <c r="V10" s="28">
        <v>391612</v>
      </c>
      <c r="W10" s="35">
        <v>160615</v>
      </c>
      <c r="X10" s="25"/>
    </row>
    <row r="11" spans="1:24">
      <c r="A11" s="39"/>
      <c r="B11" s="9">
        <v>6</v>
      </c>
      <c r="C11" s="10">
        <v>391612</v>
      </c>
      <c r="D11" s="20">
        <v>1.0000000000000002</v>
      </c>
      <c r="E11" s="28">
        <v>386126</v>
      </c>
      <c r="F11" s="38">
        <v>1</v>
      </c>
      <c r="G11" s="96">
        <v>76</v>
      </c>
      <c r="H11" s="51">
        <v>192435</v>
      </c>
      <c r="I11" s="38">
        <v>0.49837358789617892</v>
      </c>
      <c r="J11" s="51">
        <v>193691</v>
      </c>
      <c r="K11" s="38">
        <v>0.50162641210382097</v>
      </c>
      <c r="L11" s="28">
        <v>5486</v>
      </c>
      <c r="M11" s="11">
        <v>133.80487804878047</v>
      </c>
      <c r="N11" s="96">
        <v>41</v>
      </c>
      <c r="O11" s="27">
        <v>3300</v>
      </c>
      <c r="P11" s="27">
        <v>2186</v>
      </c>
      <c r="Q11" s="35">
        <v>160615</v>
      </c>
      <c r="R11" s="96">
        <v>11</v>
      </c>
      <c r="S11" s="73">
        <v>2.4</v>
      </c>
      <c r="T11" s="13"/>
      <c r="U11" s="48"/>
      <c r="V11" s="28">
        <v>386050</v>
      </c>
      <c r="W11" s="35">
        <v>160604</v>
      </c>
    </row>
    <row r="12" spans="1:24">
      <c r="A12" s="39"/>
      <c r="B12" s="9">
        <v>5</v>
      </c>
      <c r="C12" s="10">
        <v>391495</v>
      </c>
      <c r="D12" s="20">
        <v>1</v>
      </c>
      <c r="E12" s="28">
        <v>386050</v>
      </c>
      <c r="F12" s="38">
        <v>1</v>
      </c>
      <c r="G12" s="96">
        <v>225</v>
      </c>
      <c r="H12" s="51">
        <v>192393</v>
      </c>
      <c r="I12" s="38">
        <v>0.49836290635927993</v>
      </c>
      <c r="J12" s="51">
        <v>193657</v>
      </c>
      <c r="K12" s="38">
        <v>0.50163709364072007</v>
      </c>
      <c r="L12" s="28">
        <v>5445</v>
      </c>
      <c r="M12" s="11">
        <v>1.0000000000000002</v>
      </c>
      <c r="N12" s="96">
        <v>3</v>
      </c>
      <c r="O12" s="27">
        <v>3276</v>
      </c>
      <c r="P12" s="27">
        <v>2169</v>
      </c>
      <c r="Q12" s="35">
        <v>160604</v>
      </c>
      <c r="R12" s="96">
        <v>130</v>
      </c>
      <c r="S12" s="73">
        <v>2.4</v>
      </c>
      <c r="T12" s="13"/>
      <c r="U12" s="48"/>
      <c r="V12" s="28">
        <v>385825</v>
      </c>
      <c r="W12" s="35">
        <v>160474</v>
      </c>
    </row>
    <row r="13" spans="1:24">
      <c r="A13" s="39"/>
      <c r="B13" s="9">
        <v>4</v>
      </c>
      <c r="C13" s="10">
        <v>391267</v>
      </c>
      <c r="D13" s="20">
        <v>0.92675334234678619</v>
      </c>
      <c r="E13" s="28">
        <v>385825</v>
      </c>
      <c r="F13" s="38">
        <v>1</v>
      </c>
      <c r="G13" s="96">
        <v>216</v>
      </c>
      <c r="H13" s="51">
        <v>192316</v>
      </c>
      <c r="I13" s="38">
        <v>0.49845396228860234</v>
      </c>
      <c r="J13" s="51">
        <v>193509</v>
      </c>
      <c r="K13" s="38">
        <v>0.50154603771139761</v>
      </c>
      <c r="L13" s="28">
        <v>5442</v>
      </c>
      <c r="M13" s="11">
        <v>1</v>
      </c>
      <c r="N13" s="96">
        <v>8</v>
      </c>
      <c r="O13" s="27">
        <v>3258</v>
      </c>
      <c r="P13" s="27">
        <v>2184</v>
      </c>
      <c r="Q13" s="35">
        <v>160474</v>
      </c>
      <c r="R13" s="96">
        <v>154</v>
      </c>
      <c r="S13" s="73">
        <v>2.4</v>
      </c>
      <c r="T13" s="13"/>
      <c r="U13" s="48"/>
      <c r="V13" s="28">
        <v>385609</v>
      </c>
      <c r="W13" s="35">
        <v>160320</v>
      </c>
    </row>
    <row r="14" spans="1:24">
      <c r="A14" s="39"/>
      <c r="B14" s="9">
        <v>3</v>
      </c>
      <c r="C14" s="10">
        <v>391043</v>
      </c>
      <c r="D14" s="20">
        <v>1</v>
      </c>
      <c r="E14" s="28">
        <v>385609</v>
      </c>
      <c r="F14" s="38">
        <v>1</v>
      </c>
      <c r="G14" s="96">
        <v>324</v>
      </c>
      <c r="H14" s="51">
        <v>192212</v>
      </c>
      <c r="I14" s="38">
        <v>0.49846346947296355</v>
      </c>
      <c r="J14" s="51">
        <v>193397</v>
      </c>
      <c r="K14" s="38">
        <v>0.50153653052703639</v>
      </c>
      <c r="L14" s="28">
        <v>5434</v>
      </c>
      <c r="M14" s="11">
        <v>0.99999999999999989</v>
      </c>
      <c r="N14" s="96">
        <v>85</v>
      </c>
      <c r="O14" s="27">
        <v>3255</v>
      </c>
      <c r="P14" s="27">
        <v>2179</v>
      </c>
      <c r="Q14" s="35">
        <v>160320</v>
      </c>
      <c r="R14" s="96">
        <v>308</v>
      </c>
      <c r="S14" s="73">
        <v>2.41</v>
      </c>
      <c r="T14" s="13"/>
      <c r="U14" s="48"/>
      <c r="V14" s="28"/>
      <c r="W14" s="35"/>
    </row>
    <row r="15" spans="1:24">
      <c r="A15" s="39"/>
      <c r="B15" s="9">
        <v>2</v>
      </c>
      <c r="C15" s="10">
        <v>390634</v>
      </c>
      <c r="D15" s="20">
        <v>1</v>
      </c>
      <c r="E15" s="28">
        <v>385285</v>
      </c>
      <c r="F15" s="38">
        <v>1</v>
      </c>
      <c r="G15" s="96">
        <v>789</v>
      </c>
      <c r="H15" s="51">
        <v>192110</v>
      </c>
      <c r="I15" s="38">
        <v>0.49861790622526181</v>
      </c>
      <c r="J15" s="51">
        <v>193175</v>
      </c>
      <c r="K15" s="38">
        <v>0.50138209377473819</v>
      </c>
      <c r="L15" s="28">
        <v>5349</v>
      </c>
      <c r="M15" s="11">
        <v>1</v>
      </c>
      <c r="N15" s="96">
        <v>71</v>
      </c>
      <c r="O15" s="27">
        <v>3217</v>
      </c>
      <c r="P15" s="27">
        <v>2132</v>
      </c>
      <c r="Q15" s="35">
        <v>160012</v>
      </c>
      <c r="R15" s="96">
        <v>456</v>
      </c>
      <c r="S15" s="73">
        <v>2.41</v>
      </c>
      <c r="T15" s="13"/>
      <c r="U15" s="48"/>
      <c r="V15" s="28"/>
      <c r="W15" s="35"/>
    </row>
    <row r="16" spans="1:24">
      <c r="A16" s="39"/>
      <c r="B16" s="9">
        <v>1</v>
      </c>
      <c r="C16" s="10">
        <v>389774</v>
      </c>
      <c r="D16" s="20">
        <v>0.99999999999999989</v>
      </c>
      <c r="E16" s="28">
        <v>384496</v>
      </c>
      <c r="F16" s="38">
        <v>0.99999999999999989</v>
      </c>
      <c r="G16" s="96">
        <v>905</v>
      </c>
      <c r="H16" s="51">
        <v>191769</v>
      </c>
      <c r="I16" s="38">
        <v>0.49875421330781072</v>
      </c>
      <c r="J16" s="51">
        <v>192727</v>
      </c>
      <c r="K16" s="38">
        <v>0.50124578669218922</v>
      </c>
      <c r="L16" s="28">
        <v>5278</v>
      </c>
      <c r="M16" s="11">
        <v>1.0000000000000002</v>
      </c>
      <c r="N16" s="96">
        <v>-58</v>
      </c>
      <c r="O16" s="27">
        <v>3171</v>
      </c>
      <c r="P16" s="27">
        <v>2107</v>
      </c>
      <c r="Q16" s="35">
        <v>159556</v>
      </c>
      <c r="R16" s="96">
        <v>170</v>
      </c>
      <c r="S16" s="73">
        <v>2.41</v>
      </c>
      <c r="T16" s="13"/>
      <c r="U16" s="48"/>
      <c r="V16" s="28"/>
      <c r="W16" s="35"/>
    </row>
    <row r="17" spans="1:23">
      <c r="A17" s="39"/>
      <c r="B17" s="9" t="s">
        <v>10</v>
      </c>
      <c r="C17" s="10">
        <f t="shared" ref="C17:C31" si="0">E17+L17</f>
        <v>2421</v>
      </c>
      <c r="D17" s="20">
        <f t="shared" ref="D17:D31" si="1">C17/$C$8</f>
        <v>6.1798986098418902E-3</v>
      </c>
      <c r="E17" s="28">
        <v>2154</v>
      </c>
      <c r="F17" s="38">
        <f t="shared" ref="F17:F31" si="2">E17/$E$8</f>
        <v>5.5812941139889933E-3</v>
      </c>
      <c r="G17" s="96" t="e">
        <f>E17-#REF!</f>
        <v>#REF!</v>
      </c>
      <c r="H17" s="51">
        <v>1153</v>
      </c>
      <c r="I17" s="38">
        <f t="shared" ref="I17:I31" si="3">H17/$E$8</f>
        <v>2.9875729403107281E-3</v>
      </c>
      <c r="J17" s="51">
        <v>1001</v>
      </c>
      <c r="K17" s="38">
        <f t="shared" ref="K17:K31" si="4">J17/$E$8</f>
        <v>2.5937211736782647E-3</v>
      </c>
      <c r="L17" s="28">
        <f t="shared" ref="L17:L31" si="5">SUM(O17:P17)</f>
        <v>267</v>
      </c>
      <c r="M17" s="11">
        <f t="shared" ref="M17:M31" si="6">L17/$L$8</f>
        <v>4.5860529027825489E-2</v>
      </c>
      <c r="N17" s="96" t="e">
        <f>L17-#REF!</f>
        <v>#REF!</v>
      </c>
      <c r="O17" s="27">
        <v>231</v>
      </c>
      <c r="P17" s="27">
        <v>36</v>
      </c>
      <c r="Q17" s="35">
        <v>1135</v>
      </c>
      <c r="R17" s="96" t="e">
        <f>Q17-#REF!</f>
        <v>#REF!</v>
      </c>
      <c r="S17" s="73">
        <v>1.9</v>
      </c>
      <c r="T17" s="13"/>
      <c r="U17" s="48"/>
      <c r="V17" s="28">
        <v>2187</v>
      </c>
      <c r="W17" s="35">
        <v>1146</v>
      </c>
    </row>
    <row r="18" spans="1:23">
      <c r="A18" s="39"/>
      <c r="B18" s="9" t="s">
        <v>27</v>
      </c>
      <c r="C18" s="10">
        <f t="shared" si="0"/>
        <v>18420</v>
      </c>
      <c r="D18" s="20">
        <f t="shared" si="1"/>
        <v>4.7019302929899885E-2</v>
      </c>
      <c r="E18" s="28">
        <v>18358</v>
      </c>
      <c r="F18" s="38">
        <f t="shared" si="2"/>
        <v>4.7567965341044537E-2</v>
      </c>
      <c r="G18" s="96" t="e">
        <f>E18-#REF!</f>
        <v>#REF!</v>
      </c>
      <c r="H18" s="51">
        <v>9064</v>
      </c>
      <c r="I18" s="38">
        <f t="shared" si="3"/>
        <v>2.3486002715504287E-2</v>
      </c>
      <c r="J18" s="51">
        <v>9294</v>
      </c>
      <c r="K18" s="38">
        <f t="shared" si="4"/>
        <v>2.408196262554025E-2</v>
      </c>
      <c r="L18" s="28">
        <f t="shared" si="5"/>
        <v>62</v>
      </c>
      <c r="M18" s="11">
        <f t="shared" si="6"/>
        <v>1.0649261422191686E-2</v>
      </c>
      <c r="N18" s="96" t="e">
        <f>L18-#REF!</f>
        <v>#REF!</v>
      </c>
      <c r="O18" s="27">
        <v>26</v>
      </c>
      <c r="P18" s="27">
        <v>36</v>
      </c>
      <c r="Q18" s="35">
        <v>6386</v>
      </c>
      <c r="R18" s="96" t="e">
        <f>Q18-#REF!</f>
        <v>#REF!</v>
      </c>
      <c r="S18" s="73">
        <v>2.87</v>
      </c>
      <c r="T18" s="14"/>
      <c r="U18" s="48"/>
      <c r="V18" s="28">
        <v>18422</v>
      </c>
      <c r="W18" s="35">
        <v>6404</v>
      </c>
    </row>
    <row r="19" spans="1:23">
      <c r="A19" s="39"/>
      <c r="B19" s="9" t="s">
        <v>34</v>
      </c>
      <c r="C19" s="10">
        <f t="shared" si="0"/>
        <v>26724</v>
      </c>
      <c r="D19" s="20">
        <f t="shared" si="1"/>
        <v>6.8216278582988302E-2</v>
      </c>
      <c r="E19" s="28">
        <v>26653</v>
      </c>
      <c r="F19" s="38">
        <f t="shared" si="2"/>
        <v>6.9061389052993791E-2</v>
      </c>
      <c r="G19" s="96" t="e">
        <f>E19-#REF!</f>
        <v>#REF!</v>
      </c>
      <c r="H19" s="51">
        <v>12872</v>
      </c>
      <c r="I19" s="38">
        <f t="shared" si="3"/>
        <v>3.3353025921664954E-2</v>
      </c>
      <c r="J19" s="51">
        <v>13781</v>
      </c>
      <c r="K19" s="38">
        <f t="shared" si="4"/>
        <v>3.5708363131328837E-2</v>
      </c>
      <c r="L19" s="28">
        <f t="shared" si="5"/>
        <v>71</v>
      </c>
      <c r="M19" s="11">
        <f t="shared" si="6"/>
        <v>1.2195121951219513E-2</v>
      </c>
      <c r="N19" s="96" t="e">
        <f>L19-#REF!</f>
        <v>#REF!</v>
      </c>
      <c r="O19" s="27">
        <v>22</v>
      </c>
      <c r="P19" s="27">
        <v>49</v>
      </c>
      <c r="Q19" s="35">
        <v>9770</v>
      </c>
      <c r="R19" s="96" t="e">
        <f>Q19-#REF!</f>
        <v>#REF!</v>
      </c>
      <c r="S19" s="73">
        <v>2.73</v>
      </c>
      <c r="T19" s="14"/>
      <c r="U19" s="48"/>
      <c r="V19" s="28">
        <v>26600</v>
      </c>
      <c r="W19" s="35">
        <v>9752</v>
      </c>
    </row>
    <row r="20" spans="1:23">
      <c r="A20" s="39"/>
      <c r="B20" s="21" t="s">
        <v>40</v>
      </c>
      <c r="C20" s="10">
        <f t="shared" si="0"/>
        <v>13470</v>
      </c>
      <c r="D20" s="20">
        <f t="shared" si="1"/>
        <v>3.438382250085513E-2</v>
      </c>
      <c r="E20" s="29">
        <v>13332</v>
      </c>
      <c r="F20" s="38">
        <f t="shared" si="2"/>
        <v>3.4544945741736888E-2</v>
      </c>
      <c r="G20" s="96" t="e">
        <f>E20-#REF!</f>
        <v>#REF!</v>
      </c>
      <c r="H20" s="51">
        <v>6541</v>
      </c>
      <c r="I20" s="38">
        <f t="shared" si="3"/>
        <v>1.6948581615414113E-2</v>
      </c>
      <c r="J20" s="51">
        <v>6791</v>
      </c>
      <c r="K20" s="38">
        <f t="shared" si="4"/>
        <v>1.7596364126322771E-2</v>
      </c>
      <c r="L20" s="28">
        <f t="shared" si="5"/>
        <v>138</v>
      </c>
      <c r="M20" s="11">
        <f t="shared" si="6"/>
        <v>2.3703194778426657E-2</v>
      </c>
      <c r="N20" s="96" t="e">
        <f>L20-#REF!</f>
        <v>#REF!</v>
      </c>
      <c r="O20" s="27">
        <v>65</v>
      </c>
      <c r="P20" s="27">
        <v>73</v>
      </c>
      <c r="Q20" s="36">
        <v>6033</v>
      </c>
      <c r="R20" s="96" t="e">
        <f>Q20-#REF!</f>
        <v>#REF!</v>
      </c>
      <c r="S20" s="74">
        <v>2.21</v>
      </c>
      <c r="T20" s="22"/>
      <c r="U20" s="48"/>
      <c r="V20" s="29">
        <v>13375</v>
      </c>
      <c r="W20" s="36">
        <v>6073</v>
      </c>
    </row>
    <row r="21" spans="1:23">
      <c r="A21" s="39"/>
      <c r="B21" s="21" t="s">
        <v>41</v>
      </c>
      <c r="C21" s="10">
        <f>E21+L21</f>
        <v>25598</v>
      </c>
      <c r="D21" s="20">
        <f t="shared" si="1"/>
        <v>6.5342025863169229E-2</v>
      </c>
      <c r="E21" s="29">
        <v>25450</v>
      </c>
      <c r="F21" s="38">
        <f t="shared" si="2"/>
        <v>6.5944259610501335E-2</v>
      </c>
      <c r="G21" s="96" t="e">
        <f>E21-#REF!</f>
        <v>#REF!</v>
      </c>
      <c r="H21" s="51">
        <v>12141</v>
      </c>
      <c r="I21" s="38">
        <f t="shared" si="3"/>
        <v>3.1458909859768042E-2</v>
      </c>
      <c r="J21" s="51">
        <v>13309</v>
      </c>
      <c r="K21" s="38">
        <f t="shared" si="4"/>
        <v>3.4485349750733287E-2</v>
      </c>
      <c r="L21" s="28">
        <f t="shared" si="5"/>
        <v>148</v>
      </c>
      <c r="M21" s="11">
        <f t="shared" si="6"/>
        <v>2.5420817588457576E-2</v>
      </c>
      <c r="N21" s="96" t="e">
        <f>L21-#REF!</f>
        <v>#REF!</v>
      </c>
      <c r="O21" s="27">
        <v>54</v>
      </c>
      <c r="P21" s="27">
        <v>94</v>
      </c>
      <c r="Q21" s="36">
        <v>10306</v>
      </c>
      <c r="R21" s="96" t="e">
        <f>Q21-#REF!</f>
        <v>#REF!</v>
      </c>
      <c r="S21" s="74">
        <v>2.4700000000000002</v>
      </c>
      <c r="T21" s="22"/>
      <c r="U21" s="48"/>
      <c r="V21" s="29">
        <v>25473</v>
      </c>
      <c r="W21" s="36">
        <v>10280</v>
      </c>
    </row>
    <row r="22" spans="1:23">
      <c r="A22" s="39"/>
      <c r="B22" s="21" t="s">
        <v>42</v>
      </c>
      <c r="C22" s="10">
        <f t="shared" si="0"/>
        <v>11252</v>
      </c>
      <c r="D22" s="20">
        <f t="shared" si="1"/>
        <v>2.8722106219719518E-2</v>
      </c>
      <c r="E22" s="29">
        <v>11200</v>
      </c>
      <c r="F22" s="38">
        <f t="shared" si="2"/>
        <v>2.9020656488707854E-2</v>
      </c>
      <c r="G22" s="96" t="e">
        <f>E22-#REF!</f>
        <v>#REF!</v>
      </c>
      <c r="H22" s="51">
        <v>5515</v>
      </c>
      <c r="I22" s="38">
        <f t="shared" si="3"/>
        <v>1.4290082190644983E-2</v>
      </c>
      <c r="J22" s="51">
        <v>5685</v>
      </c>
      <c r="K22" s="38">
        <f t="shared" si="4"/>
        <v>1.4730574298062871E-2</v>
      </c>
      <c r="L22" s="28">
        <f t="shared" si="5"/>
        <v>52</v>
      </c>
      <c r="M22" s="11">
        <f t="shared" si="6"/>
        <v>8.9316386121607687E-3</v>
      </c>
      <c r="N22" s="96" t="e">
        <f>L22-#REF!</f>
        <v>#REF!</v>
      </c>
      <c r="O22" s="27">
        <v>24</v>
      </c>
      <c r="P22" s="27">
        <v>28</v>
      </c>
      <c r="Q22" s="36">
        <v>5307</v>
      </c>
      <c r="R22" s="96" t="e">
        <f>Q22-#REF!</f>
        <v>#REF!</v>
      </c>
      <c r="S22" s="74">
        <v>2.11</v>
      </c>
      <c r="T22" s="22"/>
      <c r="U22" s="48"/>
      <c r="V22" s="29">
        <v>11235</v>
      </c>
      <c r="W22" s="36">
        <v>5323</v>
      </c>
    </row>
    <row r="23" spans="1:23">
      <c r="A23" s="39"/>
      <c r="B23" s="9" t="s">
        <v>43</v>
      </c>
      <c r="C23" s="10">
        <f t="shared" si="0"/>
        <v>9021</v>
      </c>
      <c r="D23" s="20">
        <f t="shared" si="1"/>
        <v>2.3027205848568235E-2</v>
      </c>
      <c r="E23" s="28">
        <v>8959</v>
      </c>
      <c r="F23" s="38">
        <f t="shared" si="2"/>
        <v>2.3213934060922651E-2</v>
      </c>
      <c r="G23" s="96" t="e">
        <f>E23-#REF!</f>
        <v>#REF!</v>
      </c>
      <c r="H23" s="51">
        <v>4352</v>
      </c>
      <c r="I23" s="38">
        <f t="shared" si="3"/>
        <v>1.127659794989791E-2</v>
      </c>
      <c r="J23" s="51">
        <v>4607</v>
      </c>
      <c r="K23" s="38">
        <f t="shared" si="4"/>
        <v>1.193733611102474E-2</v>
      </c>
      <c r="L23" s="28">
        <f t="shared" si="5"/>
        <v>62</v>
      </c>
      <c r="M23" s="11">
        <f t="shared" si="6"/>
        <v>1.0649261422191686E-2</v>
      </c>
      <c r="N23" s="96" t="e">
        <f>L23-#REF!</f>
        <v>#REF!</v>
      </c>
      <c r="O23" s="27">
        <v>44</v>
      </c>
      <c r="P23" s="27">
        <v>18</v>
      </c>
      <c r="Q23" s="35">
        <v>3149</v>
      </c>
      <c r="R23" s="96" t="e">
        <f>Q23-#REF!</f>
        <v>#REF!</v>
      </c>
      <c r="S23" s="73">
        <v>2.85</v>
      </c>
      <c r="T23" s="14"/>
      <c r="U23" s="48"/>
      <c r="V23" s="28">
        <v>8925</v>
      </c>
      <c r="W23" s="35">
        <v>3139</v>
      </c>
    </row>
    <row r="24" spans="1:23">
      <c r="A24" s="39"/>
      <c r="B24" s="18" t="s">
        <v>28</v>
      </c>
      <c r="C24" s="10">
        <f t="shared" si="0"/>
        <v>23711</v>
      </c>
      <c r="D24" s="20">
        <f t="shared" si="1"/>
        <v>6.0525227566278837E-2</v>
      </c>
      <c r="E24" s="30">
        <v>23649</v>
      </c>
      <c r="F24" s="38">
        <f t="shared" si="2"/>
        <v>6.1277634401915367E-2</v>
      </c>
      <c r="G24" s="96" t="e">
        <f>E24-#REF!</f>
        <v>#REF!</v>
      </c>
      <c r="H24" s="51">
        <v>11694</v>
      </c>
      <c r="I24" s="38">
        <f t="shared" si="3"/>
        <v>3.0300674730263363E-2</v>
      </c>
      <c r="J24" s="51">
        <v>11955</v>
      </c>
      <c r="K24" s="38">
        <f t="shared" si="4"/>
        <v>3.0976959671652E-2</v>
      </c>
      <c r="L24" s="28">
        <f t="shared" si="5"/>
        <v>62</v>
      </c>
      <c r="M24" s="11">
        <f t="shared" si="6"/>
        <v>1.0649261422191686E-2</v>
      </c>
      <c r="N24" s="96" t="e">
        <f>L24-#REF!</f>
        <v>#REF!</v>
      </c>
      <c r="O24" s="27">
        <v>22</v>
      </c>
      <c r="P24" s="27">
        <v>40</v>
      </c>
      <c r="Q24" s="37">
        <v>7966</v>
      </c>
      <c r="R24" s="96" t="e">
        <f>Q24-#REF!</f>
        <v>#REF!</v>
      </c>
      <c r="S24" s="75">
        <v>2.97</v>
      </c>
      <c r="T24" s="23"/>
      <c r="U24" s="48"/>
      <c r="V24" s="30">
        <v>23623</v>
      </c>
      <c r="W24" s="37">
        <v>7957</v>
      </c>
    </row>
    <row r="25" spans="1:23">
      <c r="A25" s="76"/>
      <c r="B25" s="9" t="s">
        <v>29</v>
      </c>
      <c r="C25" s="10">
        <f t="shared" si="0"/>
        <v>28554</v>
      </c>
      <c r="D25" s="20">
        <f t="shared" si="1"/>
        <v>7.2887577408271523E-2</v>
      </c>
      <c r="E25" s="28">
        <v>28435</v>
      </c>
      <c r="F25" s="38">
        <f t="shared" si="2"/>
        <v>7.3678782790750699E-2</v>
      </c>
      <c r="G25" s="96" t="e">
        <f>E25-#REF!</f>
        <v>#REF!</v>
      </c>
      <c r="H25" s="51">
        <v>13843</v>
      </c>
      <c r="I25" s="38">
        <f t="shared" si="3"/>
        <v>3.5869013194034183E-2</v>
      </c>
      <c r="J25" s="51">
        <v>14592</v>
      </c>
      <c r="K25" s="38">
        <f t="shared" si="4"/>
        <v>3.7809769596716523E-2</v>
      </c>
      <c r="L25" s="28">
        <f t="shared" si="5"/>
        <v>119</v>
      </c>
      <c r="M25" s="11">
        <f t="shared" si="6"/>
        <v>2.0439711439367916E-2</v>
      </c>
      <c r="N25" s="96" t="e">
        <f>L25-#REF!</f>
        <v>#REF!</v>
      </c>
      <c r="O25" s="27">
        <v>32</v>
      </c>
      <c r="P25" s="27">
        <v>87</v>
      </c>
      <c r="Q25" s="35">
        <v>10841</v>
      </c>
      <c r="R25" s="96" t="e">
        <f>Q25-#REF!</f>
        <v>#REF!</v>
      </c>
      <c r="S25" s="73">
        <v>2.62</v>
      </c>
      <c r="T25" s="12"/>
      <c r="U25" s="48"/>
      <c r="V25" s="28">
        <v>28470</v>
      </c>
      <c r="W25" s="35">
        <v>10826</v>
      </c>
    </row>
    <row r="26" spans="1:23">
      <c r="A26" s="77"/>
      <c r="B26" s="9" t="s">
        <v>30</v>
      </c>
      <c r="C26" s="10">
        <f t="shared" si="0"/>
        <v>35438</v>
      </c>
      <c r="D26" s="20">
        <f t="shared" si="1"/>
        <v>9.0459829382724871E-2</v>
      </c>
      <c r="E26" s="28">
        <v>35312</v>
      </c>
      <c r="F26" s="38">
        <f t="shared" si="2"/>
        <v>9.1497984100826046E-2</v>
      </c>
      <c r="G26" s="96" t="e">
        <f>E26-#REF!</f>
        <v>#REF!</v>
      </c>
      <c r="H26" s="51">
        <v>17293</v>
      </c>
      <c r="I26" s="38">
        <f t="shared" si="3"/>
        <v>4.4808411844573653E-2</v>
      </c>
      <c r="J26" s="51">
        <v>18019</v>
      </c>
      <c r="K26" s="38">
        <f t="shared" si="4"/>
        <v>4.66895722562524E-2</v>
      </c>
      <c r="L26" s="28">
        <f t="shared" si="5"/>
        <v>126</v>
      </c>
      <c r="M26" s="11">
        <f t="shared" si="6"/>
        <v>2.1642047406389558E-2</v>
      </c>
      <c r="N26" s="96" t="e">
        <f>L26-#REF!</f>
        <v>#REF!</v>
      </c>
      <c r="O26" s="27">
        <v>42</v>
      </c>
      <c r="P26" s="27">
        <v>84</v>
      </c>
      <c r="Q26" s="35">
        <v>12464</v>
      </c>
      <c r="R26" s="96" t="e">
        <f>Q26-#REF!</f>
        <v>#REF!</v>
      </c>
      <c r="S26" s="73">
        <v>2.83</v>
      </c>
      <c r="T26" s="15"/>
      <c r="U26" s="48"/>
      <c r="V26" s="28">
        <v>35257</v>
      </c>
      <c r="W26" s="35">
        <v>12436</v>
      </c>
    </row>
    <row r="27" spans="1:23">
      <c r="A27" s="77"/>
      <c r="B27" s="9" t="s">
        <v>31</v>
      </c>
      <c r="C27" s="10">
        <f t="shared" si="0"/>
        <v>22128</v>
      </c>
      <c r="D27" s="20">
        <f t="shared" si="1"/>
        <v>5.6484426451293417E-2</v>
      </c>
      <c r="E27" s="28">
        <v>21936</v>
      </c>
      <c r="F27" s="38">
        <f t="shared" si="2"/>
        <v>5.6839028637169241E-2</v>
      </c>
      <c r="G27" s="96" t="e">
        <f>E27-#REF!</f>
        <v>#REF!</v>
      </c>
      <c r="H27" s="51">
        <v>10668</v>
      </c>
      <c r="I27" s="38">
        <f t="shared" si="3"/>
        <v>2.7642175305494232E-2</v>
      </c>
      <c r="J27" s="51">
        <v>11268</v>
      </c>
      <c r="K27" s="38">
        <f t="shared" si="4"/>
        <v>2.9196853331675009E-2</v>
      </c>
      <c r="L27" s="28">
        <f t="shared" si="5"/>
        <v>192</v>
      </c>
      <c r="M27" s="11">
        <f t="shared" si="6"/>
        <v>3.2978357952593608E-2</v>
      </c>
      <c r="N27" s="96" t="e">
        <f>L27-#REF!</f>
        <v>#REF!</v>
      </c>
      <c r="O27" s="27">
        <v>76</v>
      </c>
      <c r="P27" s="27">
        <v>116</v>
      </c>
      <c r="Q27" s="35">
        <v>8430</v>
      </c>
      <c r="R27" s="96" t="e">
        <f>Q27-#REF!</f>
        <v>#REF!</v>
      </c>
      <c r="S27" s="73">
        <v>2.6</v>
      </c>
      <c r="T27" s="15"/>
      <c r="U27" s="48"/>
      <c r="V27" s="28">
        <v>21830</v>
      </c>
      <c r="W27" s="35">
        <v>8390</v>
      </c>
    </row>
    <row r="28" spans="1:23">
      <c r="A28" s="77"/>
      <c r="B28" s="9" t="s">
        <v>44</v>
      </c>
      <c r="C28" s="10">
        <f t="shared" si="0"/>
        <v>28408</v>
      </c>
      <c r="D28" s="20">
        <f>C28/$C$8</f>
        <v>7.2514894551172424E-2</v>
      </c>
      <c r="E28" s="28">
        <v>28153</v>
      </c>
      <c r="F28" s="38">
        <f t="shared" si="2"/>
        <v>7.2948084118445736E-2</v>
      </c>
      <c r="G28" s="96" t="e">
        <f>E28-#REF!</f>
        <v>#REF!</v>
      </c>
      <c r="H28" s="51">
        <v>13822</v>
      </c>
      <c r="I28" s="38">
        <f t="shared" si="3"/>
        <v>3.5814599463117852E-2</v>
      </c>
      <c r="J28" s="51">
        <v>14331</v>
      </c>
      <c r="K28" s="38">
        <f t="shared" si="4"/>
        <v>3.7133484655327884E-2</v>
      </c>
      <c r="L28" s="28">
        <f t="shared" si="5"/>
        <v>255</v>
      </c>
      <c r="M28" s="11">
        <f t="shared" si="6"/>
        <v>4.3799381655788387E-2</v>
      </c>
      <c r="N28" s="96" t="e">
        <f>L28-#REF!</f>
        <v>#REF!</v>
      </c>
      <c r="O28" s="27">
        <v>131</v>
      </c>
      <c r="P28" s="27">
        <v>124</v>
      </c>
      <c r="Q28" s="35">
        <v>11831</v>
      </c>
      <c r="R28" s="96" t="e">
        <f>Q28-#REF!</f>
        <v>#REF!</v>
      </c>
      <c r="S28" s="73">
        <v>2.38</v>
      </c>
      <c r="T28" s="15"/>
      <c r="U28" s="48"/>
      <c r="V28" s="28">
        <v>28108</v>
      </c>
      <c r="W28" s="35">
        <v>11868</v>
      </c>
    </row>
    <row r="29" spans="1:23">
      <c r="A29" s="77"/>
      <c r="B29" s="9" t="s">
        <v>32</v>
      </c>
      <c r="C29" s="10">
        <f t="shared" si="0"/>
        <v>19102</v>
      </c>
      <c r="D29" s="20">
        <f t="shared" si="1"/>
        <v>4.8760191344568278E-2</v>
      </c>
      <c r="E29" s="28">
        <v>19041</v>
      </c>
      <c r="F29" s="38">
        <f t="shared" si="2"/>
        <v>4.933770716084699E-2</v>
      </c>
      <c r="G29" s="96" t="e">
        <f>E29-#REF!</f>
        <v>#REF!</v>
      </c>
      <c r="H29" s="51">
        <v>9345</v>
      </c>
      <c r="I29" s="38">
        <f t="shared" si="3"/>
        <v>2.4214110257765618E-2</v>
      </c>
      <c r="J29" s="51">
        <v>9696</v>
      </c>
      <c r="K29" s="38">
        <f t="shared" si="4"/>
        <v>2.5123596903081372E-2</v>
      </c>
      <c r="L29" s="28">
        <f t="shared" si="5"/>
        <v>61</v>
      </c>
      <c r="M29" s="11">
        <f t="shared" si="6"/>
        <v>1.0477499141188595E-2</v>
      </c>
      <c r="N29" s="96" t="e">
        <f>L29-#REF!</f>
        <v>#REF!</v>
      </c>
      <c r="O29" s="27">
        <v>20</v>
      </c>
      <c r="P29" s="27">
        <v>41</v>
      </c>
      <c r="Q29" s="35">
        <v>6974</v>
      </c>
      <c r="R29" s="96" t="e">
        <f>Q29-#REF!</f>
        <v>#REF!</v>
      </c>
      <c r="S29" s="73">
        <v>2.73</v>
      </c>
      <c r="T29" s="15"/>
      <c r="U29" s="48"/>
      <c r="V29" s="28">
        <v>18980</v>
      </c>
      <c r="W29" s="35">
        <v>6924</v>
      </c>
    </row>
    <row r="30" spans="1:23">
      <c r="A30" s="77"/>
      <c r="B30" s="16" t="s">
        <v>45</v>
      </c>
      <c r="C30" s="10">
        <f t="shared" si="0"/>
        <v>11339</v>
      </c>
      <c r="D30" s="20">
        <f t="shared" si="1"/>
        <v>2.894418436059364E-2</v>
      </c>
      <c r="E30" s="28">
        <v>11308</v>
      </c>
      <c r="F30" s="38">
        <f t="shared" si="2"/>
        <v>2.9300498533420396E-2</v>
      </c>
      <c r="G30" s="96" t="e">
        <f>E30-#REF!</f>
        <v>#REF!</v>
      </c>
      <c r="H30" s="51">
        <v>5585</v>
      </c>
      <c r="I30" s="38">
        <f t="shared" si="3"/>
        <v>1.4471461293699408E-2</v>
      </c>
      <c r="J30" s="51">
        <v>5723</v>
      </c>
      <c r="K30" s="38">
        <f t="shared" si="4"/>
        <v>1.4829037239720988E-2</v>
      </c>
      <c r="L30" s="28">
        <f t="shared" si="5"/>
        <v>31</v>
      </c>
      <c r="M30" s="11">
        <f t="shared" si="6"/>
        <v>5.3246307110958431E-3</v>
      </c>
      <c r="N30" s="96" t="e">
        <f>L30-#REF!</f>
        <v>#REF!</v>
      </c>
      <c r="O30" s="27">
        <v>8</v>
      </c>
      <c r="P30" s="27">
        <v>23</v>
      </c>
      <c r="Q30" s="35">
        <v>4389</v>
      </c>
      <c r="R30" s="96" t="e">
        <f>Q30-#REF!</f>
        <v>#REF!</v>
      </c>
      <c r="S30" s="73">
        <v>2.58</v>
      </c>
      <c r="T30" s="12"/>
      <c r="U30" s="48"/>
      <c r="V30" s="28">
        <v>11256</v>
      </c>
      <c r="W30" s="35">
        <v>4368</v>
      </c>
    </row>
    <row r="31" spans="1:23">
      <c r="A31" s="78"/>
      <c r="B31" s="16" t="s">
        <v>46</v>
      </c>
      <c r="C31" s="10">
        <f t="shared" si="0"/>
        <v>28658</v>
      </c>
      <c r="D31" s="20">
        <f t="shared" si="1"/>
        <v>7.3153050128396901E-2</v>
      </c>
      <c r="E31" s="28">
        <v>28582</v>
      </c>
      <c r="F31" s="38">
        <f t="shared" si="2"/>
        <v>7.4059678907165E-2</v>
      </c>
      <c r="G31" s="96" t="e">
        <f>E31-#REF!</f>
        <v>#REF!</v>
      </c>
      <c r="H31" s="51">
        <v>13719</v>
      </c>
      <c r="I31" s="38">
        <f t="shared" si="3"/>
        <v>3.554771306862349E-2</v>
      </c>
      <c r="J31" s="51">
        <v>14863</v>
      </c>
      <c r="K31" s="38">
        <f t="shared" si="4"/>
        <v>3.8511965838541502E-2</v>
      </c>
      <c r="L31" s="28">
        <f t="shared" si="5"/>
        <v>76</v>
      </c>
      <c r="M31" s="11">
        <f t="shared" si="6"/>
        <v>1.3053933356234971E-2</v>
      </c>
      <c r="N31" s="96" t="e">
        <f>L31-#REF!</f>
        <v>#REF!</v>
      </c>
      <c r="O31" s="27">
        <v>27</v>
      </c>
      <c r="P31" s="27">
        <v>49</v>
      </c>
      <c r="Q31" s="35">
        <v>10829</v>
      </c>
      <c r="R31" s="96" t="e">
        <f>Q31-#REF!</f>
        <v>#REF!</v>
      </c>
      <c r="S31" s="73">
        <v>2.64</v>
      </c>
      <c r="T31" s="12"/>
      <c r="U31" s="48"/>
      <c r="V31" s="28">
        <v>28539</v>
      </c>
      <c r="W31" s="35">
        <v>10819</v>
      </c>
    </row>
    <row r="32" spans="1:23">
      <c r="A32" s="79"/>
      <c r="B32" s="80"/>
      <c r="C32" s="41"/>
      <c r="D32" s="41"/>
      <c r="E32" s="81"/>
      <c r="F32" s="81"/>
      <c r="G32" s="82"/>
      <c r="H32" s="81"/>
      <c r="I32" s="83"/>
      <c r="J32" s="81"/>
      <c r="K32" s="83"/>
      <c r="L32" s="47"/>
      <c r="N32" s="48"/>
      <c r="Q32" s="84"/>
      <c r="R32" s="85"/>
      <c r="S32" s="86"/>
      <c r="T32" s="87"/>
      <c r="U32" s="48"/>
    </row>
    <row r="33" spans="1:21">
      <c r="A33" s="39"/>
      <c r="B33" s="40" t="s">
        <v>47</v>
      </c>
      <c r="E33" s="41"/>
      <c r="F33" s="41"/>
      <c r="G33" s="41"/>
      <c r="H33" s="42"/>
      <c r="I33" s="43"/>
      <c r="J33" s="44"/>
      <c r="K33" s="44"/>
      <c r="Q33" s="45"/>
      <c r="R33" s="46"/>
      <c r="S33" s="47"/>
      <c r="U33" s="48"/>
    </row>
    <row r="34" spans="1:21">
      <c r="A34" s="39"/>
      <c r="B34" s="88"/>
      <c r="E34" s="41"/>
      <c r="F34" s="41"/>
      <c r="G34" s="41"/>
      <c r="H34" s="42"/>
      <c r="I34" s="43"/>
      <c r="J34" s="44"/>
      <c r="K34" s="44"/>
      <c r="Q34" s="45"/>
      <c r="R34" s="46"/>
      <c r="S34" s="47"/>
      <c r="U34" s="48"/>
    </row>
  </sheetData>
  <mergeCells count="12">
    <mergeCell ref="Q6:Q7"/>
    <mergeCell ref="R6:R7"/>
    <mergeCell ref="B2:T2"/>
    <mergeCell ref="B5:B7"/>
    <mergeCell ref="E5:K5"/>
    <mergeCell ref="Q5:R5"/>
    <mergeCell ref="S5:S7"/>
    <mergeCell ref="T5:T7"/>
    <mergeCell ref="C6:C7"/>
    <mergeCell ref="D6:D7"/>
    <mergeCell ref="E6:K6"/>
    <mergeCell ref="L6:P6"/>
  </mergeCells>
  <phoneticPr fontId="2" type="noConversion"/>
  <pageMargins left="0.25" right="0.25" top="0.75" bottom="0.75" header="0.3" footer="0.3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D3C6-590C-4492-A42C-6F3732735903}">
  <sheetPr>
    <tabColor theme="7"/>
  </sheetPr>
  <dimension ref="B3:W3"/>
  <sheetViews>
    <sheetView workbookViewId="0">
      <selection activeCell="K11" sqref="K11"/>
    </sheetView>
  </sheetViews>
  <sheetFormatPr defaultRowHeight="16.5"/>
  <sheetData>
    <row r="3" spans="2:23" ht="15.75" customHeight="1">
      <c r="B3" t="s">
        <v>53</v>
      </c>
      <c r="C3">
        <v>391754</v>
      </c>
      <c r="D3">
        <v>1</v>
      </c>
      <c r="E3">
        <v>385932</v>
      </c>
      <c r="F3">
        <v>1</v>
      </c>
      <c r="G3">
        <v>-21</v>
      </c>
      <c r="H3">
        <v>192246</v>
      </c>
      <c r="I3">
        <v>0.49813438636858309</v>
      </c>
      <c r="J3">
        <v>193686</v>
      </c>
      <c r="K3">
        <v>0.50186561363141691</v>
      </c>
      <c r="L3">
        <v>5822</v>
      </c>
      <c r="M3">
        <v>0.99999999999999989</v>
      </c>
      <c r="N3">
        <v>264</v>
      </c>
      <c r="O3">
        <v>3552</v>
      </c>
      <c r="P3">
        <v>2270</v>
      </c>
      <c r="Q3">
        <v>160479</v>
      </c>
      <c r="R3">
        <v>40</v>
      </c>
      <c r="S3">
        <v>2.4</v>
      </c>
      <c r="V3">
        <v>386192</v>
      </c>
      <c r="W3">
        <v>160562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24년 7월</vt:lpstr>
      <vt:lpstr>24년 6월</vt:lpstr>
      <vt:lpstr>24년 5월</vt:lpstr>
      <vt:lpstr>24년 4월</vt:lpstr>
      <vt:lpstr>24년 3월</vt:lpstr>
      <vt:lpstr>24년 2월</vt:lpstr>
      <vt:lpstr>24년 1월</vt:lpstr>
      <vt:lpstr>23년 9월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2023-10-31T05:35:44Z</cp:lastPrinted>
  <dcterms:created xsi:type="dcterms:W3CDTF">2017-09-01T01:44:18Z</dcterms:created>
  <dcterms:modified xsi:type="dcterms:W3CDTF">2024-08-01T08:52:20Z</dcterms:modified>
</cp:coreProperties>
</file>